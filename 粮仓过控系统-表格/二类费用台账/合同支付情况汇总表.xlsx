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8" windowHeight="12300" activeTab="1"/>
  </bookViews>
  <sheets>
    <sheet name="合同支付情况" sheetId="1" r:id="rId1"/>
    <sheet name="产值情况 (2)" sheetId="4" r:id="rId2"/>
    <sheet name="Sheet1" sheetId="3" r:id="rId3"/>
  </sheets>
  <definedNames>
    <definedName name="_xlnm._FilterDatabase" localSheetId="0" hidden="1">合同支付情况!$A$3:$AO$28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Administrator</author>
  </authors>
  <commentList>
    <comment ref="R13" authorId="0">
      <text>
        <r>
          <rPr>
            <b/>
            <sz val="9"/>
            <rFont val="宋体"/>
            <charset val="134"/>
          </rPr>
          <t xml:space="preserve">Administrator:
</t>
        </r>
        <r>
          <rPr>
            <sz val="9"/>
            <rFont val="宋体"/>
            <charset val="134"/>
          </rPr>
          <t xml:space="preserve">农名工工资预付款
</t>
        </r>
      </text>
    </comment>
  </commentList>
</comments>
</file>

<file path=xl/comments2.xml><?xml version="1.0" encoding="utf-8"?>
<comments xmlns="http://schemas.openxmlformats.org/spreadsheetml/2006/main">
  <authors>
    <author>Administrator</author>
  </authors>
  <commentList>
    <comment ref="F20" authorId="0">
      <text>
        <r>
          <rPr>
            <b/>
            <sz val="9"/>
            <rFont val="宋体"/>
            <charset val="134"/>
          </rPr>
          <t>Administrator:</t>
        </r>
        <r>
          <rPr>
            <sz val="9"/>
            <rFont val="宋体"/>
            <charset val="134"/>
          </rPr>
          <t xml:space="preserve">
本项目服务费用由以下组成:合同总金额:237500元(其中，水土保持方案编制服务费122500元，大写:壹拾贰万贰仟伍佰元整;水土保持验收服务费115000元，大写:壹拾壹万伍仟元整)，税率6%，不含税224056.60元。</t>
        </r>
      </text>
    </comment>
  </commentList>
</comments>
</file>

<file path=xl/sharedStrings.xml><?xml version="1.0" encoding="utf-8"?>
<sst xmlns="http://schemas.openxmlformats.org/spreadsheetml/2006/main" count="298" uniqueCount="158">
  <si>
    <t>合同支付情况</t>
  </si>
  <si>
    <t>序号</t>
  </si>
  <si>
    <t>编号</t>
  </si>
  <si>
    <t>供应商</t>
  </si>
  <si>
    <t>合同内容</t>
  </si>
  <si>
    <t>签订日期</t>
  </si>
  <si>
    <t xml:space="preserve"> 合同金额 </t>
  </si>
  <si>
    <t>支付节点</t>
  </si>
  <si>
    <t>累计支付</t>
  </si>
  <si>
    <t>支付明细</t>
  </si>
  <si>
    <t>施工前阶段</t>
  </si>
  <si>
    <t>施工中阶段</t>
  </si>
  <si>
    <t>竣工阶段</t>
  </si>
  <si>
    <t>累计已付
万元</t>
  </si>
  <si>
    <t>剩余未付
万元</t>
  </si>
  <si>
    <t>已付比例</t>
  </si>
  <si>
    <t>剩余未付比例</t>
  </si>
  <si>
    <t>CX001</t>
  </si>
  <si>
    <t>四川锦鑫川荣工程咨询有限公司</t>
  </si>
  <si>
    <t>四川省国家工程投资建设委托招标代理</t>
  </si>
  <si>
    <t>招标代理服务费在乙方完成合同约定代理事项、完整移交招标档案资料后10个工作日内一次性支
付。
 中标人支付:招标代理服务费在签订中标合同后10个工作日内，由中标人直接向乙方一次性支付，在服务过程中
甲方不再另行向乙方支付任何费用。</t>
  </si>
  <si>
    <t>*</t>
  </si>
  <si>
    <t>CX002</t>
  </si>
  <si>
    <t>重庆大正建设工程经济技术有限公司</t>
  </si>
  <si>
    <t>招标人支付:招标代理服务费在乙方完成合同约定代理事项、完整移交招标档案资料后10个工作日内一次性支
付。
 中标人支付:招标代理服务费在签订中标合同后10个工作日内，由中标人直接向乙方一次性支付，在服务过程中
甲方不再另行向乙方支付任何费用。</t>
  </si>
  <si>
    <t>CX003</t>
  </si>
  <si>
    <t>中资锐诚工程项目管理有限公司</t>
  </si>
  <si>
    <t>可研评审服务合同</t>
  </si>
  <si>
    <t>无合同</t>
  </si>
  <si>
    <t>CX004</t>
  </si>
  <si>
    <t>德阳市罗江区自然资源和规划局</t>
  </si>
  <si>
    <t>国有建设用地使用权出让合同</t>
  </si>
  <si>
    <t>CX005</t>
  </si>
  <si>
    <t>中储粮成都储藏研究院有限公司</t>
  </si>
  <si>
    <r>
      <rPr>
        <sz val="10"/>
        <rFont val="宋体"/>
        <charset val="134"/>
      </rPr>
      <t>建设工程勘察、</t>
    </r>
    <r>
      <rPr>
        <b/>
        <sz val="10"/>
        <color rgb="FFFF0000"/>
        <rFont val="宋体"/>
        <charset val="134"/>
      </rPr>
      <t>初设</t>
    </r>
    <r>
      <rPr>
        <sz val="10"/>
        <rFont val="宋体"/>
        <charset val="134"/>
      </rPr>
      <t xml:space="preserve">设计服务合同
</t>
    </r>
  </si>
  <si>
    <t>合同签订后30日内，支付合同暂定设计价的20%(预付款)</t>
  </si>
  <si>
    <t>提交方案设计资料并经过相关行政主管部门审批通过后15个工作日内，支付合同暂定设计价的30%</t>
  </si>
  <si>
    <t>提交初步设计资料并通过初设评审且取得第三方概算审核批复后的15工作日内，支付至合同金额的80%</t>
  </si>
  <si>
    <t>剩余尾款在项目竣工及财评审核后支付。设计费最终结算价不得超过签约合同价。</t>
  </si>
  <si>
    <t>四川德阳地质工程勘察院有限公司</t>
  </si>
  <si>
    <t>合同签订后15个工作日内，支付勘察合同价的20%</t>
  </si>
  <si>
    <t>CX006</t>
  </si>
  <si>
    <t>四川都林工程咨询有限公司</t>
  </si>
  <si>
    <t>建设工程造价咨询合同</t>
  </si>
  <si>
    <t>提交完整的成果文件后20个工作
日内，一次性付清</t>
  </si>
  <si>
    <t>CX007</t>
  </si>
  <si>
    <t>四川卓立建设工程咨询有限公司</t>
  </si>
  <si>
    <t>建设工程施工图设计文件审查合同</t>
  </si>
  <si>
    <t>4.3本项目施工图审查周期(含地勘报告)为5个工作日。(施工图设计完成后，审查单位向委托单位一次性提出需求资料清单，资料提交齐全后开始计算。)</t>
  </si>
  <si>
    <t>CX008</t>
  </si>
  <si>
    <t>德阳建设工程集团有限公司</t>
  </si>
  <si>
    <t>建设安装工程</t>
  </si>
  <si>
    <t>(1)按月进度支付，按每月已完成的实际产值的80%进行支付(预算评审后，以预算评审重新核定产值，超出部分在后期进度款中抵扣)</t>
  </si>
  <si>
    <t>工程竣工验收合格后30 日内，承包人向发包人提交竣工结算报告和全部竣工结算资料。发包人委托的第三方审计机构进行竣工结算审计，并根据竣工结算审计结果，按照本合同约定的结算办法办理结算后30日内支付至结算总价的90%;</t>
  </si>
  <si>
    <t>工程完成财务决算后，支付至决算金额的97%;剩余的3%作为质保金，在缺陷责任期满且承包人完全履约后一次性无息支付剩余3%</t>
  </si>
  <si>
    <t>德阳建设工程集团有限公司，长城华西银行股份有限公司罗江万安支行</t>
  </si>
  <si>
    <t>建设工程农民工工资专用账户资金托管协议</t>
  </si>
  <si>
    <t>中国机械工业建设集团有限公司</t>
  </si>
  <si>
    <t>设备采购</t>
  </si>
  <si>
    <t>(1)设备运抵现场开验收合格后30个工作日内，支付至设备暂定金额的50%</t>
  </si>
  <si>
    <t>(2)设备安装调试合格，且完成设备单机及联动调试合格满一个月后，30个工作目内，支付至预算审定金额的70%</t>
  </si>
  <si>
    <t>(3)竣工验收、竣工试验合格后，支付至预算审定金额的80%</t>
  </si>
  <si>
    <t>(4)经结算评审后30个工作日内，支付至结算审核金额的90%</t>
  </si>
  <si>
    <t>工程完成财务决算后，支付至决算金额的100%</t>
  </si>
  <si>
    <r>
      <rPr>
        <b/>
        <sz val="10"/>
        <color rgb="FFFF0000"/>
        <rFont val="宋体"/>
        <charset val="134"/>
      </rPr>
      <t>施工图</t>
    </r>
    <r>
      <rPr>
        <b/>
        <sz val="10"/>
        <rFont val="宋体"/>
        <charset val="134"/>
      </rPr>
      <t>设计服务</t>
    </r>
  </si>
  <si>
    <t>设计费预付款的20%</t>
  </si>
  <si>
    <t>取得施工图设计文件审查报告，通过预算评审后，支付签约合同价设计费的40%</t>
  </si>
  <si>
    <t>工程竣工验收且结算审定后，支付剩余费用</t>
  </si>
  <si>
    <t>CX009</t>
  </si>
  <si>
    <t>中凯俊成建设咨询有限公司</t>
  </si>
  <si>
    <t>全过程咨询（监理）</t>
  </si>
  <si>
    <t>合同签订后，支付工程监理服务费合同金额的10%</t>
  </si>
  <si>
    <t>工程产值到达50%，支付至工程监理服务费合同金额的30%</t>
  </si>
  <si>
    <t>工程竣工验收合格后，支付至工程监理服务费合同金额的70%</t>
  </si>
  <si>
    <t>项目结算审核完毕后，支付至工程监理服务费(以审定的竣工结算的建安工程与设备费为计费基数计算)的95%</t>
  </si>
  <si>
    <t>完成财务决算后，支付剩余监理服务费</t>
  </si>
  <si>
    <t>全过程咨询（造价）</t>
  </si>
  <si>
    <t>施工阶段全过程造价控制费:合同签订后，支付施工阶段全过程造价控制费合同金额的20%</t>
  </si>
  <si>
    <t>施工阶段全过程造价控制费:施工图审查完成后，支付至施工阶段全过程造价控制费合同金额的50%</t>
  </si>
  <si>
    <t>施工阶段全过程造价控制费:工程竣工验收合格后，支付至施工阶段全过程造价控制合同金额的70%</t>
  </si>
  <si>
    <t>施工阶段全过程造价控制费:项目结算审核完成后，支付剩余尾款</t>
  </si>
  <si>
    <t>全过程咨询（结算）</t>
  </si>
  <si>
    <t>合同签订后，支付合同金额中基本审核费的30%，作为预付款</t>
  </si>
  <si>
    <t>完成工程结算审核工作后，支付至最终结算审核服务费的80%</t>
  </si>
  <si>
    <t>财务决算完成后，支付至最终结算审核服务费的100%</t>
  </si>
  <si>
    <t>CX010</t>
  </si>
  <si>
    <t>德阳城发清源生态环境咨询服务有限公司</t>
  </si>
  <si>
    <t>项目管理咨询服务合同</t>
  </si>
  <si>
    <t>合同签订后支付合同金额的30%作为预付款</t>
  </si>
  <si>
    <t>工程项目完成设计、施工、监理招投标工作并签订合同后，支付至管理咨询服务费合同金额的50%</t>
  </si>
  <si>
    <t>项目竣工验收合格后支付至合同金额的80%，施工项目结算审核后支付至合同金额的95%</t>
  </si>
  <si>
    <t>缺陷责任期满后支付至合同金额的100%</t>
  </si>
  <si>
    <t>CX011</t>
  </si>
  <si>
    <t>水土保持方案编制和验收咨询服务</t>
  </si>
  <si>
    <t>水土保持方案编制服务费:按签订合同后30个工作日支付水土保持方案编制服务费的30%</t>
  </si>
  <si>
    <t>提交经过验收的编制成果支付至水土保持方案编制服务费的60%，水保方案取得相关部门批复后支付剩余水土保持方案编制服务费</t>
  </si>
  <si>
    <t>土保持验收服务费:从本合同签订之日起至本项目完成水土保持设施竣工验收，并通过相关主管部门的备案后30日内，一次性支付水土保持验收服务费的100%。</t>
  </si>
  <si>
    <t>CX012</t>
  </si>
  <si>
    <t>四川鑫科锐工程勘察设计有限公司</t>
  </si>
  <si>
    <t>测绘服务合同</t>
  </si>
  <si>
    <t>验收合格后付60%，拿到项目所在地的自规局批复后支付剩余合同金额。供应商在收款前应提供等额的增值税专用发票。最终支付金额根据《测绘生产成本费用定额》(财建【2009】17号)服务收费基准价格为基准)按照实际开展的测绘工程量据实结算，结算公式为:最终测绘服务费=“单个测绘项服务费”之和;单个测绘项服务费根据收费标准结合中标下浮率计算(中标下浮率=最高限价-中标价)/最高限价)。如核定的最终支付金额超过本项目中标价，按照中标价执行。</t>
  </si>
  <si>
    <t>CX013</t>
  </si>
  <si>
    <t>CX014</t>
  </si>
  <si>
    <t>四川创安太平科技有限公司</t>
  </si>
  <si>
    <t>安全技术服务合同</t>
  </si>
  <si>
    <t>乙方提供经专家评审、完成验收的川西现代粮食物流中心建设项目安全条件和设施综合分析和安全设施设计专篇成果文件，并开具相应金额的增值税专用发票，提供请款申请等相关付款资料后，30个工作日内，甲方一次性支付合同全部金额。</t>
  </si>
  <si>
    <t>CX015</t>
  </si>
  <si>
    <t>河南工大设计研究院有限公司</t>
  </si>
  <si>
    <t>信息化咨询服务</t>
  </si>
  <si>
    <t>本合同生效后30日内，支付咨询费用总价30%，即人民币27840.00元整(¥贰万柒任捌佰肆拾元整)的定金</t>
  </si>
  <si>
    <t>(2)按照进度支付，受托方提交所有信息化建设报告成果
后30日内支付咨询费用总价40%，即人民币37120.00元整</t>
  </si>
  <si>
    <t>(3)委托方验收合格后30日内，支付咨询费用的剩余款30%，即人民币27840.00元整(¥贰万柒任捌佰肆拾元整)。</t>
  </si>
  <si>
    <t>CX016</t>
  </si>
  <si>
    <t>四川西南科正建设工程质量检测有限公司</t>
  </si>
  <si>
    <t>工程检测服务</t>
  </si>
  <si>
    <t>合同签订后，支付合同金额的30%</t>
  </si>
  <si>
    <t>乙方完成所有检测工作并提交完整检测报告后，支付至经核定后的检测费金额的80%</t>
  </si>
  <si>
    <t>项目结算审核完成后，支付剩余尾款。达到支付节点要求后，乙方向甲方提交支付申请并出具合法
有效完整的增值税专用发票及凭证资料，甲方收到上述支付申请材料后30日内对相应费用进行支付。</t>
  </si>
  <si>
    <t>CX017</t>
  </si>
  <si>
    <t>四川沁合勘察测绘有限公司</t>
  </si>
  <si>
    <t>地下管网探测服务</t>
  </si>
  <si>
    <t>在本合同第四条约定的服务费用具备支付条件后，甲方应在同时满足以下条件之日起的20工作日内，一次性向乙方支付全部款项</t>
  </si>
  <si>
    <t>CX018</t>
  </si>
  <si>
    <t>析谱科技（成都）有限公司</t>
  </si>
  <si>
    <t>职业病危害评价服务</t>
  </si>
  <si>
    <t>(1)预评价提交成果文件或取得主管部门备案回执(若有)后30日内，支付30%;</t>
  </si>
  <si>
    <t>防护设施设计专篇提交成果文件或取得主管部门备案回执(若有)后30日内，支付30%;</t>
  </si>
  <si>
    <t>控制效果评价提交成果文件或取得主管部门备案回执(若有)且乙方
移交全部资料后30日内，支付40%。
供应商在收款前应提供等额的增值税专用发票。</t>
  </si>
  <si>
    <t>合计</t>
  </si>
  <si>
    <t>产值支付情况</t>
  </si>
  <si>
    <t>注：本表建筑安装工程和设备采购按预估完成产值暂计，其他费用按合同支付节点计</t>
  </si>
  <si>
    <t>预估支付</t>
  </si>
  <si>
    <t>累计完成产值</t>
  </si>
  <si>
    <t>产值明细</t>
  </si>
  <si>
    <t>预估累计应支付
万元</t>
  </si>
  <si>
    <t>实际累计已支付
万元</t>
  </si>
  <si>
    <t>预估剩余未支付
万元</t>
  </si>
  <si>
    <t>累计已完成
万元</t>
  </si>
  <si>
    <t>剩余未完成
万元</t>
  </si>
  <si>
    <t>已完比例</t>
  </si>
  <si>
    <t>剩余未完比例</t>
  </si>
  <si>
    <t>2提交通过审查的勘察报告和资料，支付勘察合同价的20%。当工程勘察工作全部完成并通过甲方验收后，乙方将提交最终报告及相关成果文件勘察，且勘察费用通过第三方造价审核机构或财评中心审核后15个工作日内，支付勘察费审核价的30%。</t>
  </si>
  <si>
    <t>项目竣工后15个工作日，支付勘察费审核价的30%。</t>
  </si>
  <si>
    <t>建安合计</t>
  </si>
  <si>
    <t>设备合计</t>
  </si>
  <si>
    <t>二类费合计</t>
  </si>
  <si>
    <t>计划投资</t>
  </si>
  <si>
    <t>累计完成</t>
  </si>
  <si>
    <t>建安</t>
  </si>
  <si>
    <t>其他</t>
  </si>
  <si>
    <t>日期</t>
  </si>
  <si>
    <t>4月完成产值</t>
  </si>
  <si>
    <t>3月22</t>
  </si>
  <si>
    <t>3月29</t>
  </si>
  <si>
    <t>4月5</t>
  </si>
  <si>
    <t>4月10</t>
  </si>
  <si>
    <t>4月16</t>
  </si>
  <si>
    <t>4月22</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</si>
</sst>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yyyy/m/d;@"/>
    <numFmt numFmtId="178" formatCode="0.00_ "/>
  </numFmts>
  <fonts count="32">
    <font>
      <sz val="11"/>
      <color theme="1"/>
      <name val="宋体"/>
      <charset val="134"/>
      <scheme val="minor"/>
    </font>
    <font>
      <sz val="10"/>
      <color theme="1"/>
      <name val="宋体"/>
      <charset val="134"/>
      <scheme val="minor"/>
    </font>
    <font>
      <b/>
      <sz val="16"/>
      <color theme="1"/>
      <name val="宋体"/>
      <charset val="134"/>
      <scheme val="minor"/>
    </font>
    <font>
      <b/>
      <sz val="12"/>
      <color theme="1"/>
      <name val="宋体"/>
      <charset val="134"/>
      <scheme val="minor"/>
    </font>
    <font>
      <b/>
      <sz val="10"/>
      <color rgb="FFFF0000"/>
      <name val="宋体"/>
      <charset val="134"/>
      <scheme val="minor"/>
    </font>
    <font>
      <b/>
      <sz val="10"/>
      <color rgb="FFFFFFFF"/>
      <name val="宋体"/>
      <charset val="134"/>
    </font>
    <font>
      <b/>
      <sz val="10"/>
      <color theme="1"/>
      <name val="宋体"/>
      <charset val="134"/>
      <scheme val="minor"/>
    </font>
    <font>
      <sz val="10"/>
      <color rgb="FF000000"/>
      <name val="宋体"/>
      <charset val="134"/>
    </font>
    <font>
      <sz val="10"/>
      <name val="宋体"/>
      <charset val="134"/>
    </font>
    <font>
      <b/>
      <sz val="10"/>
      <name val="宋体"/>
      <charset val="134"/>
    </font>
    <font>
      <b/>
      <sz val="10"/>
      <color rgb="FFFF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9"/>
      <name val="宋体"/>
      <charset val="134"/>
    </font>
    <font>
      <sz val="9"/>
      <name val="宋体"/>
      <charset val="134"/>
    </font>
  </fonts>
  <fills count="38">
    <fill>
      <patternFill patternType="none"/>
    </fill>
    <fill>
      <patternFill patternType="gray125"/>
    </fill>
    <fill>
      <patternFill patternType="solid">
        <fgColor theme="9" tint="0.4"/>
        <bgColor rgb="FF000000"/>
      </patternFill>
    </fill>
    <fill>
      <patternFill patternType="solid">
        <fgColor theme="9" tint="0.4"/>
        <bgColor indexed="64"/>
      </patternFill>
    </fill>
    <fill>
      <patternFill patternType="solid">
        <fgColor rgb="FFFFC000"/>
        <bgColor indexed="64"/>
      </patternFill>
    </fill>
    <fill>
      <patternFill patternType="solid">
        <fgColor rgb="FF31869B"/>
        <bgColor rgb="FF000000"/>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style="medium">
        <color auto="1"/>
      </top>
      <bottom style="thin">
        <color rgb="FF000000"/>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rgb="FF000000"/>
      </bottom>
      <diagonal/>
    </border>
    <border>
      <left/>
      <right style="thin">
        <color auto="1"/>
      </right>
      <top/>
      <bottom style="thin">
        <color auto="1"/>
      </bottom>
      <diagonal/>
    </border>
    <border>
      <left style="thin">
        <color auto="1"/>
      </left>
      <right style="thin">
        <color auto="1"/>
      </right>
      <top/>
      <bottom style="thin">
        <color auto="1"/>
      </bottom>
      <diagonal/>
    </border>
    <border>
      <left/>
      <right style="thin">
        <color auto="1"/>
      </right>
      <top/>
      <bottom/>
      <diagonal/>
    </border>
    <border>
      <left/>
      <right style="thin">
        <color auto="1"/>
      </right>
      <top style="thin">
        <color auto="1"/>
      </top>
      <bottom/>
      <diagonal/>
    </border>
    <border>
      <left style="thin">
        <color auto="1"/>
      </left>
      <right style="thin">
        <color auto="1"/>
      </right>
      <top style="thin">
        <color auto="1"/>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0" fillId="7" borderId="14"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15" applyNumberFormat="0" applyFill="0" applyAlignment="0" applyProtection="0">
      <alignment vertical="center"/>
    </xf>
    <xf numFmtId="0" fontId="17" fillId="0" borderId="15" applyNumberFormat="0" applyFill="0" applyAlignment="0" applyProtection="0">
      <alignment vertical="center"/>
    </xf>
    <xf numFmtId="0" fontId="18" fillId="0" borderId="16" applyNumberFormat="0" applyFill="0" applyAlignment="0" applyProtection="0">
      <alignment vertical="center"/>
    </xf>
    <xf numFmtId="0" fontId="18" fillId="0" borderId="0" applyNumberFormat="0" applyFill="0" applyBorder="0" applyAlignment="0" applyProtection="0">
      <alignment vertical="center"/>
    </xf>
    <xf numFmtId="0" fontId="19" fillId="8" borderId="17" applyNumberFormat="0" applyAlignment="0" applyProtection="0">
      <alignment vertical="center"/>
    </xf>
    <xf numFmtId="0" fontId="20" fillId="9" borderId="18" applyNumberFormat="0" applyAlignment="0" applyProtection="0">
      <alignment vertical="center"/>
    </xf>
    <xf numFmtId="0" fontId="21" fillId="9" borderId="17" applyNumberFormat="0" applyAlignment="0" applyProtection="0">
      <alignment vertical="center"/>
    </xf>
    <xf numFmtId="0" fontId="22" fillId="10" borderId="19" applyNumberFormat="0" applyAlignment="0" applyProtection="0">
      <alignment vertical="center"/>
    </xf>
    <xf numFmtId="0" fontId="23" fillId="0" borderId="20" applyNumberFormat="0" applyFill="0" applyAlignment="0" applyProtection="0">
      <alignment vertical="center"/>
    </xf>
    <xf numFmtId="0" fontId="24" fillId="0" borderId="21" applyNumberFormat="0" applyFill="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28" fillId="33" borderId="0" applyNumberFormat="0" applyBorder="0" applyAlignment="0" applyProtection="0">
      <alignment vertical="center"/>
    </xf>
    <xf numFmtId="0" fontId="28" fillId="34" borderId="0" applyNumberFormat="0" applyBorder="0" applyAlignment="0" applyProtection="0">
      <alignment vertical="center"/>
    </xf>
    <xf numFmtId="0" fontId="29" fillId="35" borderId="0" applyNumberFormat="0" applyBorder="0" applyAlignment="0" applyProtection="0">
      <alignment vertical="center"/>
    </xf>
    <xf numFmtId="0" fontId="29" fillId="36" borderId="0" applyNumberFormat="0" applyBorder="0" applyAlignment="0" applyProtection="0">
      <alignment vertical="center"/>
    </xf>
    <xf numFmtId="0" fontId="28" fillId="37" borderId="0" applyNumberFormat="0" applyBorder="0" applyAlignment="0" applyProtection="0">
      <alignment vertical="center"/>
    </xf>
  </cellStyleXfs>
  <cellXfs count="91">
    <xf numFmtId="0" fontId="0" fillId="0" borderId="0" xfId="0">
      <alignment vertical="center"/>
    </xf>
    <xf numFmtId="0" fontId="0" fillId="0" borderId="0" xfId="0" applyAlignment="1">
      <alignment horizontal="center" vertical="center"/>
    </xf>
    <xf numFmtId="176" fontId="0" fillId="0" borderId="0" xfId="0" applyNumberFormat="1">
      <alignment vertical="center"/>
    </xf>
    <xf numFmtId="0" fontId="1" fillId="0" borderId="0" xfId="0" applyFont="1">
      <alignment vertical="center"/>
    </xf>
    <xf numFmtId="0" fontId="2" fillId="0" borderId="0" xfId="0" applyFont="1" applyAlignment="1">
      <alignment horizontal="center" vertical="center"/>
    </xf>
    <xf numFmtId="176" fontId="2" fillId="0" borderId="0" xfId="0" applyNumberFormat="1" applyFont="1" applyAlignment="1">
      <alignment horizontal="center" vertical="center"/>
    </xf>
    <xf numFmtId="0" fontId="3" fillId="0" borderId="0" xfId="0" applyFont="1" applyAlignment="1">
      <alignment horizontal="center" vertical="center"/>
    </xf>
    <xf numFmtId="0" fontId="4" fillId="0" borderId="0" xfId="0" applyFont="1">
      <alignment vertical="center"/>
    </xf>
    <xf numFmtId="0" fontId="1" fillId="0" borderId="0" xfId="0" applyFont="1" applyAlignment="1">
      <alignment horizontal="center" vertical="center"/>
    </xf>
    <xf numFmtId="0" fontId="1" fillId="0" borderId="0" xfId="0" applyFont="1" applyAlignment="1">
      <alignment horizontal="right" vertical="center"/>
    </xf>
    <xf numFmtId="176" fontId="1" fillId="0" borderId="0" xfId="0" applyNumberFormat="1" applyFont="1">
      <alignment vertical="center"/>
    </xf>
    <xf numFmtId="9" fontId="1" fillId="0" borderId="0" xfId="3" applyFont="1">
      <alignment vertical="center"/>
    </xf>
    <xf numFmtId="176" fontId="1" fillId="0" borderId="0" xfId="0" applyNumberFormat="1" applyFont="1" applyAlignment="1">
      <alignment horizontal="right" vertical="center"/>
    </xf>
    <xf numFmtId="0" fontId="5" fillId="2" borderId="1" xfId="0" applyFont="1" applyFill="1" applyBorder="1" applyAlignment="1">
      <alignment horizontal="center" vertical="center"/>
    </xf>
    <xf numFmtId="0" fontId="5" fillId="2" borderId="2" xfId="0" applyFont="1" applyFill="1" applyBorder="1" applyAlignment="1">
      <alignment horizontal="center" vertical="center"/>
    </xf>
    <xf numFmtId="0" fontId="5" fillId="2" borderId="3" xfId="0" applyFont="1" applyFill="1" applyBorder="1" applyAlignment="1">
      <alignment horizontal="center" vertical="center"/>
    </xf>
    <xf numFmtId="177" fontId="5" fillId="2" borderId="2" xfId="0" applyNumberFormat="1" applyFont="1" applyFill="1" applyBorder="1" applyAlignment="1">
      <alignment horizontal="center" vertical="center" wrapText="1"/>
    </xf>
    <xf numFmtId="43" fontId="5" fillId="2" borderId="2" xfId="0" applyNumberFormat="1" applyFont="1" applyFill="1" applyBorder="1" applyAlignment="1">
      <alignment horizontal="center" vertical="center"/>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176" fontId="1" fillId="0" borderId="4" xfId="0" applyNumberFormat="1" applyFont="1" applyBorder="1" applyAlignment="1">
      <alignment horizontal="center" vertical="center"/>
    </xf>
    <xf numFmtId="176" fontId="1" fillId="0" borderId="5" xfId="0" applyNumberFormat="1" applyFont="1" applyBorder="1" applyAlignment="1">
      <alignment horizontal="center" vertical="center"/>
    </xf>
    <xf numFmtId="9" fontId="1" fillId="0" borderId="5" xfId="3" applyFont="1" applyBorder="1" applyAlignment="1">
      <alignment horizontal="center" vertical="center"/>
    </xf>
    <xf numFmtId="0" fontId="1" fillId="0" borderId="6" xfId="0" applyFont="1" applyBorder="1" applyAlignment="1">
      <alignment horizontal="center" vertical="center"/>
    </xf>
    <xf numFmtId="0" fontId="6" fillId="0" borderId="4" xfId="0" applyFont="1" applyBorder="1" applyAlignment="1">
      <alignment horizontal="center" vertical="center"/>
    </xf>
    <xf numFmtId="0" fontId="6" fillId="0" borderId="5" xfId="0" applyFont="1" applyBorder="1" applyAlignment="1">
      <alignment horizontal="center" vertical="center"/>
    </xf>
    <xf numFmtId="0" fontId="6" fillId="0" borderId="6" xfId="0" applyFont="1" applyBorder="1" applyAlignment="1">
      <alignment horizontal="center" vertical="center"/>
    </xf>
    <xf numFmtId="176" fontId="1" fillId="0" borderId="7" xfId="0" applyNumberFormat="1" applyFont="1" applyBorder="1" applyAlignment="1">
      <alignment horizontal="center" vertical="center"/>
    </xf>
    <xf numFmtId="0" fontId="1" fillId="0" borderId="7" xfId="0" applyFont="1" applyBorder="1" applyAlignment="1">
      <alignment horizontal="center" vertical="center"/>
    </xf>
    <xf numFmtId="0" fontId="1" fillId="0" borderId="7" xfId="0" applyFont="1" applyBorder="1" applyAlignment="1">
      <alignment horizontal="center" vertical="center" wrapText="1"/>
    </xf>
    <xf numFmtId="0" fontId="1" fillId="3" borderId="7" xfId="0" applyFont="1" applyFill="1" applyBorder="1" applyAlignment="1">
      <alignment horizontal="center" vertical="center" wrapText="1"/>
    </xf>
    <xf numFmtId="176" fontId="1" fillId="0" borderId="7" xfId="0" applyNumberFormat="1" applyFont="1" applyBorder="1" applyAlignment="1">
      <alignment horizontal="center" vertical="center" wrapText="1"/>
    </xf>
    <xf numFmtId="9" fontId="1" fillId="0" borderId="7" xfId="3" applyFont="1" applyBorder="1" applyAlignment="1">
      <alignment horizontal="center" vertical="center"/>
    </xf>
    <xf numFmtId="0" fontId="6" fillId="0" borderId="7" xfId="0" applyFont="1" applyBorder="1" applyAlignment="1">
      <alignment horizontal="center" vertical="center"/>
    </xf>
    <xf numFmtId="57" fontId="1" fillId="0" borderId="7" xfId="0" applyNumberFormat="1" applyFont="1" applyBorder="1" applyAlignment="1">
      <alignment horizontal="center" vertical="center"/>
    </xf>
    <xf numFmtId="0" fontId="7" fillId="0" borderId="8" xfId="0" applyFont="1" applyBorder="1" applyAlignment="1">
      <alignment horizontal="center" vertical="center"/>
    </xf>
    <xf numFmtId="0" fontId="7" fillId="0" borderId="8" xfId="0" applyFont="1" applyBorder="1" applyAlignment="1">
      <alignment horizontal="center" vertical="center" wrapText="1"/>
    </xf>
    <xf numFmtId="0" fontId="8" fillId="0" borderId="9" xfId="0" applyFont="1" applyBorder="1" applyAlignment="1">
      <alignment horizontal="center" vertical="center" wrapText="1"/>
    </xf>
    <xf numFmtId="0" fontId="9" fillId="0" borderId="9" xfId="0" applyFont="1" applyBorder="1" applyAlignment="1">
      <alignment horizontal="center" vertical="center"/>
    </xf>
    <xf numFmtId="177" fontId="7" fillId="0" borderId="8" xfId="0" applyNumberFormat="1" applyFont="1" applyBorder="1" applyAlignment="1">
      <alignment horizontal="center" vertical="center" wrapText="1"/>
    </xf>
    <xf numFmtId="43" fontId="7" fillId="0" borderId="9" xfId="0" applyNumberFormat="1" applyFont="1" applyBorder="1" applyAlignment="1">
      <alignment horizontal="right" vertical="center"/>
    </xf>
    <xf numFmtId="178" fontId="7" fillId="0" borderId="9" xfId="0" applyNumberFormat="1" applyFont="1" applyBorder="1" applyAlignment="1">
      <alignment horizontal="right" vertical="center"/>
    </xf>
    <xf numFmtId="176" fontId="1" fillId="0" borderId="7" xfId="0" applyNumberFormat="1" applyFont="1" applyBorder="1" applyAlignment="1">
      <alignment horizontal="right" vertical="center"/>
    </xf>
    <xf numFmtId="9" fontId="1" fillId="0" borderId="7" xfId="3" applyFont="1" applyBorder="1" applyAlignment="1">
      <alignment horizontal="right" vertical="center"/>
    </xf>
    <xf numFmtId="9" fontId="1" fillId="0" borderId="7" xfId="3" applyFont="1" applyBorder="1">
      <alignment vertical="center"/>
    </xf>
    <xf numFmtId="0" fontId="1" fillId="0" borderId="7" xfId="0" applyFont="1" applyBorder="1" applyAlignment="1">
      <alignment vertical="center" wrapText="1"/>
    </xf>
    <xf numFmtId="0" fontId="1" fillId="0" borderId="7" xfId="0" applyFont="1" applyBorder="1">
      <alignment vertical="center"/>
    </xf>
    <xf numFmtId="176" fontId="0" fillId="0" borderId="7" xfId="0" applyNumberFormat="1" applyBorder="1">
      <alignment vertical="center"/>
    </xf>
    <xf numFmtId="0" fontId="1" fillId="0" borderId="7" xfId="0" applyFont="1" applyBorder="1" applyAlignment="1">
      <alignment horizontal="right" vertical="center"/>
    </xf>
    <xf numFmtId="0" fontId="10" fillId="0" borderId="9" xfId="0" applyFont="1" applyBorder="1" applyAlignment="1">
      <alignment horizontal="center" vertical="center"/>
    </xf>
    <xf numFmtId="0" fontId="7" fillId="0" borderId="10" xfId="0" applyFont="1" applyBorder="1" applyAlignment="1">
      <alignment horizontal="center" vertical="center"/>
    </xf>
    <xf numFmtId="0" fontId="7" fillId="0" borderId="9" xfId="0" applyFont="1" applyBorder="1" applyAlignment="1">
      <alignment horizontal="center" vertical="center"/>
    </xf>
    <xf numFmtId="0" fontId="8" fillId="4" borderId="9" xfId="0" applyFont="1" applyFill="1" applyBorder="1" applyAlignment="1">
      <alignment horizontal="center" vertical="center" wrapText="1"/>
    </xf>
    <xf numFmtId="177" fontId="7" fillId="0" borderId="9" xfId="0" applyNumberFormat="1" applyFont="1" applyBorder="1" applyAlignment="1">
      <alignment horizontal="center" vertical="center" wrapText="1"/>
    </xf>
    <xf numFmtId="0" fontId="1" fillId="0" borderId="7" xfId="0" applyFont="1" applyBorder="1" applyAlignment="1">
      <alignment horizontal="left" vertical="center" wrapText="1"/>
    </xf>
    <xf numFmtId="0" fontId="8" fillId="0" borderId="11" xfId="0" applyFont="1" applyBorder="1" applyAlignment="1">
      <alignment horizontal="center" vertical="center" wrapText="1"/>
    </xf>
    <xf numFmtId="177" fontId="7" fillId="0" borderId="11" xfId="0" applyNumberFormat="1" applyFont="1" applyBorder="1" applyAlignment="1">
      <alignment horizontal="center" vertical="center" wrapText="1"/>
    </xf>
    <xf numFmtId="0" fontId="8" fillId="0" borderId="12" xfId="0" applyFont="1" applyBorder="1" applyAlignment="1">
      <alignment horizontal="center" vertical="center" wrapText="1"/>
    </xf>
    <xf numFmtId="177" fontId="7" fillId="0" borderId="12" xfId="0" applyNumberFormat="1" applyFont="1" applyBorder="1" applyAlignment="1">
      <alignment horizontal="center" vertical="center" wrapText="1"/>
    </xf>
    <xf numFmtId="0" fontId="8" fillId="0" borderId="13" xfId="0" applyFont="1" applyBorder="1" applyAlignment="1">
      <alignment horizontal="center" vertical="center" wrapText="1"/>
    </xf>
    <xf numFmtId="177" fontId="7" fillId="0" borderId="13" xfId="0" applyNumberFormat="1" applyFont="1" applyBorder="1" applyAlignment="1">
      <alignment horizontal="center" vertical="center" wrapText="1"/>
    </xf>
    <xf numFmtId="43" fontId="7" fillId="0" borderId="9" xfId="0" applyNumberFormat="1" applyFont="1" applyBorder="1" applyAlignment="1">
      <alignment horizontal="right" vertical="center" wrapText="1"/>
    </xf>
    <xf numFmtId="0" fontId="8" fillId="0" borderId="8" xfId="0" applyFont="1" applyBorder="1" applyAlignment="1">
      <alignment horizontal="center" vertical="center" wrapText="1"/>
    </xf>
    <xf numFmtId="0" fontId="1" fillId="0" borderId="7" xfId="0" applyFont="1" applyFill="1" applyBorder="1" applyAlignment="1">
      <alignment vertical="center" wrapText="1"/>
    </xf>
    <xf numFmtId="0" fontId="1" fillId="0" borderId="7" xfId="0" applyFont="1" applyFill="1" applyBorder="1">
      <alignment vertical="center"/>
    </xf>
    <xf numFmtId="176" fontId="1" fillId="0" borderId="7" xfId="0" applyNumberFormat="1" applyFont="1" applyFill="1" applyBorder="1" applyAlignment="1">
      <alignment horizontal="right" vertical="center"/>
    </xf>
    <xf numFmtId="0" fontId="8" fillId="0" borderId="9" xfId="0" applyFont="1" applyBorder="1" applyAlignment="1">
      <alignment horizontal="center" vertical="center"/>
    </xf>
    <xf numFmtId="0" fontId="7" fillId="0" borderId="7" xfId="0" applyFont="1" applyBorder="1" applyAlignment="1">
      <alignment horizontal="center" vertical="center"/>
    </xf>
    <xf numFmtId="0" fontId="8" fillId="0" borderId="7" xfId="0" applyFont="1" applyBorder="1" applyAlignment="1">
      <alignment horizontal="center" vertical="center" wrapText="1"/>
    </xf>
    <xf numFmtId="0" fontId="8" fillId="0" borderId="7" xfId="0" applyFont="1" applyBorder="1" applyAlignment="1">
      <alignment horizontal="center" vertical="center"/>
    </xf>
    <xf numFmtId="177" fontId="7" fillId="0" borderId="7" xfId="0" applyNumberFormat="1" applyFont="1" applyBorder="1" applyAlignment="1">
      <alignment horizontal="center" vertical="center" wrapText="1"/>
    </xf>
    <xf numFmtId="43" fontId="7" fillId="0" borderId="7" xfId="0" applyNumberFormat="1" applyFont="1" applyBorder="1" applyAlignment="1">
      <alignment horizontal="right" vertical="center"/>
    </xf>
    <xf numFmtId="178" fontId="7" fillId="0" borderId="7" xfId="0" applyNumberFormat="1" applyFont="1" applyBorder="1" applyAlignment="1">
      <alignment horizontal="right" vertical="center"/>
    </xf>
    <xf numFmtId="0" fontId="0" fillId="0" borderId="7" xfId="0" applyBorder="1" applyAlignment="1">
      <alignment horizontal="center" vertical="center"/>
    </xf>
    <xf numFmtId="0" fontId="0" fillId="0" borderId="7" xfId="0" applyBorder="1">
      <alignment vertical="center"/>
    </xf>
    <xf numFmtId="0" fontId="1" fillId="0" borderId="0" xfId="0" applyFont="1" applyAlignment="1">
      <alignment vertical="center"/>
    </xf>
    <xf numFmtId="176" fontId="1" fillId="0" borderId="0" xfId="0" applyNumberFormat="1" applyFont="1" applyAlignment="1">
      <alignment horizontal="center" vertical="center"/>
    </xf>
    <xf numFmtId="9" fontId="1" fillId="0" borderId="0" xfId="3" applyFont="1" applyAlignment="1">
      <alignment horizontal="center" vertical="center"/>
    </xf>
    <xf numFmtId="0" fontId="3" fillId="0" borderId="0" xfId="0" applyFont="1" applyAlignment="1">
      <alignment vertical="center"/>
    </xf>
    <xf numFmtId="176" fontId="3" fillId="0" borderId="0" xfId="0" applyNumberFormat="1" applyFont="1" applyAlignment="1">
      <alignment horizontal="center" vertical="center"/>
    </xf>
    <xf numFmtId="0" fontId="5" fillId="5" borderId="1" xfId="0" applyFont="1" applyFill="1" applyBorder="1" applyAlignment="1">
      <alignment horizontal="center" vertical="center"/>
    </xf>
    <xf numFmtId="0" fontId="5" fillId="5" borderId="2" xfId="0" applyFont="1" applyFill="1" applyBorder="1" applyAlignment="1">
      <alignment horizontal="center" vertical="center"/>
    </xf>
    <xf numFmtId="0" fontId="5" fillId="5" borderId="3" xfId="0" applyFont="1" applyFill="1" applyBorder="1" applyAlignment="1">
      <alignment horizontal="center" vertical="center"/>
    </xf>
    <xf numFmtId="177" fontId="5" fillId="5" borderId="2" xfId="0" applyNumberFormat="1" applyFont="1" applyFill="1" applyBorder="1" applyAlignment="1">
      <alignment horizontal="center" vertical="center" wrapText="1"/>
    </xf>
    <xf numFmtId="43" fontId="5" fillId="5" borderId="2" xfId="0" applyNumberFormat="1" applyFont="1" applyFill="1" applyBorder="1" applyAlignment="1">
      <alignment horizontal="center" vertical="center"/>
    </xf>
    <xf numFmtId="178" fontId="7" fillId="0" borderId="9" xfId="0" applyNumberFormat="1" applyFont="1" applyBorder="1" applyAlignment="1">
      <alignment vertical="center"/>
    </xf>
    <xf numFmtId="43" fontId="7" fillId="0" borderId="9" xfId="0" applyNumberFormat="1" applyFont="1" applyBorder="1" applyAlignment="1">
      <alignment vertical="center" wrapText="1"/>
    </xf>
    <xf numFmtId="43" fontId="7" fillId="0" borderId="9" xfId="0" applyNumberFormat="1" applyFont="1" applyBorder="1" applyAlignment="1">
      <alignment vertical="center"/>
    </xf>
    <xf numFmtId="176" fontId="1" fillId="6" borderId="7" xfId="0" applyNumberFormat="1" applyFont="1" applyFill="1" applyBorder="1" applyAlignment="1">
      <alignment horizontal="center" vertical="center"/>
    </xf>
    <xf numFmtId="176" fontId="1" fillId="0" borderId="7" xfId="0" applyNumberFormat="1" applyFont="1" applyFill="1" applyBorder="1" applyAlignment="1">
      <alignment horizontal="center" vertical="center"/>
    </xf>
    <xf numFmtId="43" fontId="7" fillId="0" borderId="7" xfId="0" applyNumberFormat="1" applyFont="1" applyBorder="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O28"/>
  <sheetViews>
    <sheetView zoomScale="70" zoomScaleNormal="70" workbookViewId="0">
      <pane ySplit="3" topLeftCell="A4" activePane="bottomLeft" state="frozen"/>
      <selection/>
      <selection pane="bottomLeft" activeCell="J15" sqref="J15"/>
    </sheetView>
  </sheetViews>
  <sheetFormatPr defaultColWidth="9" defaultRowHeight="34" customHeight="1"/>
  <cols>
    <col min="1" max="2" width="9" style="3"/>
    <col min="3" max="3" width="34.3796296296296" style="8" customWidth="1"/>
    <col min="4" max="4" width="34.8796296296296" style="8" customWidth="1"/>
    <col min="5" max="5" width="14.6296296296296" style="3"/>
    <col min="6" max="6" width="21.5" style="75"/>
    <col min="7" max="7" width="44.2222222222222" style="3" customWidth="1"/>
    <col min="8" max="8" width="49.287037037037" style="3" customWidth="1"/>
    <col min="9" max="9" width="19.6851851851852" style="3" customWidth="1"/>
    <col min="10" max="10" width="8.87962962962963" style="3" customWidth="1"/>
    <col min="11" max="11" width="19.6759259259259" style="3" customWidth="1"/>
    <col min="12" max="12" width="15.2222222222222" style="76" customWidth="1"/>
    <col min="13" max="13" width="17.5555555555556" style="76" customWidth="1"/>
    <col min="14" max="14" width="13.3796296296296" style="77" customWidth="1"/>
    <col min="15" max="15" width="13.3796296296296" style="8" customWidth="1"/>
    <col min="16" max="17" width="11" style="76" customWidth="1"/>
    <col min="18" max="18" width="15.2222222222222" style="76" customWidth="1"/>
    <col min="19" max="19" width="13" style="76" customWidth="1"/>
    <col min="20" max="20" width="16.4444444444444" style="76" customWidth="1"/>
    <col min="21" max="21" width="15.2222222222222" style="76" customWidth="1"/>
    <col min="22" max="23" width="11" style="12" customWidth="1"/>
    <col min="24" max="41" width="11" style="9" customWidth="1"/>
    <col min="42" max="16384" width="9" style="3"/>
  </cols>
  <sheetData>
    <row r="1" customHeight="1" spans="1:41">
      <c r="A1" s="6" t="s">
        <v>0</v>
      </c>
      <c r="B1" s="6"/>
      <c r="C1" s="6"/>
      <c r="D1" s="6"/>
      <c r="E1" s="6"/>
      <c r="F1" s="78"/>
      <c r="G1" s="6"/>
      <c r="H1" s="6"/>
      <c r="I1" s="6"/>
      <c r="J1" s="6"/>
      <c r="K1" s="6"/>
      <c r="L1" s="79"/>
      <c r="M1" s="79"/>
      <c r="N1" s="6"/>
      <c r="O1" s="6"/>
      <c r="P1" s="79"/>
      <c r="Q1" s="79"/>
      <c r="R1" s="79"/>
      <c r="S1" s="79"/>
      <c r="T1" s="79"/>
      <c r="U1" s="79"/>
      <c r="V1" s="79"/>
      <c r="W1" s="79"/>
      <c r="X1" s="6"/>
      <c r="Y1" s="6"/>
      <c r="Z1" s="6"/>
      <c r="AA1" s="6"/>
      <c r="AB1" s="6"/>
      <c r="AC1" s="6"/>
      <c r="AD1" s="6"/>
      <c r="AE1" s="6"/>
      <c r="AF1" s="6"/>
      <c r="AG1" s="6"/>
      <c r="AH1" s="6"/>
      <c r="AI1" s="6"/>
      <c r="AJ1" s="6"/>
      <c r="AK1" s="6"/>
      <c r="AL1" s="6"/>
      <c r="AM1" s="6"/>
      <c r="AN1" s="6"/>
      <c r="AO1" s="6"/>
    </row>
    <row r="2" customHeight="1" spans="1:41">
      <c r="A2" s="80" t="s">
        <v>1</v>
      </c>
      <c r="B2" s="81" t="s">
        <v>2</v>
      </c>
      <c r="C2" s="81" t="s">
        <v>3</v>
      </c>
      <c r="D2" s="82" t="s">
        <v>4</v>
      </c>
      <c r="E2" s="83" t="s">
        <v>5</v>
      </c>
      <c r="F2" s="84" t="s">
        <v>6</v>
      </c>
      <c r="G2" s="24" t="s">
        <v>7</v>
      </c>
      <c r="H2" s="25"/>
      <c r="I2" s="25"/>
      <c r="J2" s="25"/>
      <c r="K2" s="26"/>
      <c r="L2" s="20" t="s">
        <v>8</v>
      </c>
      <c r="M2" s="21"/>
      <c r="N2" s="22"/>
      <c r="O2" s="23"/>
      <c r="P2" s="27" t="s">
        <v>9</v>
      </c>
      <c r="Q2" s="27"/>
      <c r="R2" s="27"/>
      <c r="S2" s="27"/>
      <c r="T2" s="27"/>
      <c r="U2" s="27"/>
      <c r="V2" s="27"/>
      <c r="W2" s="27"/>
      <c r="X2" s="28"/>
      <c r="Y2" s="28"/>
      <c r="Z2" s="28"/>
      <c r="AA2" s="28"/>
      <c r="AB2" s="28"/>
      <c r="AC2" s="28"/>
      <c r="AD2" s="28"/>
      <c r="AE2" s="28"/>
      <c r="AF2" s="28"/>
      <c r="AG2" s="28"/>
      <c r="AH2" s="28"/>
      <c r="AI2" s="28"/>
      <c r="AJ2" s="28"/>
      <c r="AK2" s="28"/>
      <c r="AL2" s="28"/>
      <c r="AM2" s="28"/>
      <c r="AN2" s="28"/>
      <c r="AO2" s="28"/>
    </row>
    <row r="3" s="8" customFormat="1" customHeight="1" spans="1:41">
      <c r="A3" s="80"/>
      <c r="B3" s="81"/>
      <c r="C3" s="81"/>
      <c r="D3" s="82"/>
      <c r="E3" s="83"/>
      <c r="F3" s="84"/>
      <c r="G3" s="33" t="s">
        <v>10</v>
      </c>
      <c r="H3" s="33" t="s">
        <v>11</v>
      </c>
      <c r="I3" s="24" t="s">
        <v>12</v>
      </c>
      <c r="J3" s="25"/>
      <c r="K3" s="26"/>
      <c r="L3" s="31" t="s">
        <v>13</v>
      </c>
      <c r="M3" s="31" t="s">
        <v>14</v>
      </c>
      <c r="N3" s="32" t="s">
        <v>15</v>
      </c>
      <c r="O3" s="28" t="s">
        <v>16</v>
      </c>
      <c r="P3" s="34">
        <v>45962</v>
      </c>
      <c r="Q3" s="34">
        <v>45992</v>
      </c>
      <c r="R3" s="34">
        <v>46023</v>
      </c>
      <c r="S3" s="34">
        <v>46054</v>
      </c>
      <c r="T3" s="34">
        <v>46082</v>
      </c>
      <c r="U3" s="34">
        <v>46113</v>
      </c>
      <c r="V3" s="34">
        <v>46143</v>
      </c>
      <c r="W3" s="34">
        <v>46203</v>
      </c>
      <c r="X3" s="34">
        <v>46204</v>
      </c>
      <c r="Y3" s="34">
        <v>46235</v>
      </c>
      <c r="Z3" s="34">
        <v>46266</v>
      </c>
      <c r="AA3" s="34">
        <v>46296</v>
      </c>
      <c r="AB3" s="34">
        <v>46327</v>
      </c>
      <c r="AC3" s="34">
        <v>46357</v>
      </c>
      <c r="AD3" s="34">
        <v>46388</v>
      </c>
      <c r="AE3" s="34">
        <v>46419</v>
      </c>
      <c r="AF3" s="34">
        <v>46447</v>
      </c>
      <c r="AG3" s="34">
        <v>46478</v>
      </c>
      <c r="AH3" s="34">
        <v>46508</v>
      </c>
      <c r="AI3" s="34">
        <v>46539</v>
      </c>
      <c r="AJ3" s="34">
        <v>46569</v>
      </c>
      <c r="AK3" s="34">
        <v>46600</v>
      </c>
      <c r="AL3" s="34">
        <v>46631</v>
      </c>
      <c r="AM3" s="34">
        <v>46661</v>
      </c>
      <c r="AN3" s="34">
        <v>46692</v>
      </c>
      <c r="AO3" s="34">
        <v>46722</v>
      </c>
    </row>
    <row r="4" customHeight="1" spans="1:41">
      <c r="A4" s="50">
        <v>1</v>
      </c>
      <c r="B4" s="51" t="s">
        <v>17</v>
      </c>
      <c r="C4" s="37" t="s">
        <v>18</v>
      </c>
      <c r="D4" s="37" t="s">
        <v>19</v>
      </c>
      <c r="E4" s="53">
        <v>45523</v>
      </c>
      <c r="F4" s="85"/>
      <c r="G4" s="54" t="s">
        <v>20</v>
      </c>
      <c r="H4" s="48" t="s">
        <v>21</v>
      </c>
      <c r="I4" s="48" t="s">
        <v>21</v>
      </c>
      <c r="J4" s="48" t="s">
        <v>21</v>
      </c>
      <c r="K4" s="48" t="s">
        <v>21</v>
      </c>
      <c r="L4" s="27">
        <f>SUM(P4:AZ4)</f>
        <v>0</v>
      </c>
      <c r="M4" s="27">
        <f>F4-L4</f>
        <v>0</v>
      </c>
      <c r="N4" s="32" t="e">
        <f>L4/F4</f>
        <v>#DIV/0!</v>
      </c>
      <c r="O4" s="32" t="e">
        <f>1-N4</f>
        <v>#DIV/0!</v>
      </c>
      <c r="P4" s="27"/>
      <c r="Q4" s="27"/>
      <c r="R4" s="27"/>
      <c r="S4" s="27"/>
      <c r="T4" s="27"/>
      <c r="U4" s="27"/>
      <c r="V4" s="42"/>
      <c r="W4" s="42"/>
      <c r="X4" s="48"/>
      <c r="Y4" s="48"/>
      <c r="Z4" s="48"/>
      <c r="AA4" s="48"/>
      <c r="AB4" s="48"/>
      <c r="AC4" s="48"/>
      <c r="AD4" s="48"/>
      <c r="AE4" s="48"/>
      <c r="AF4" s="48"/>
      <c r="AG4" s="48"/>
      <c r="AH4" s="48"/>
      <c r="AI4" s="48"/>
      <c r="AJ4" s="48"/>
      <c r="AK4" s="48"/>
      <c r="AL4" s="48"/>
      <c r="AM4" s="48"/>
      <c r="AN4" s="48"/>
      <c r="AO4" s="48"/>
    </row>
    <row r="5" customHeight="1" spans="1:41">
      <c r="A5" s="50">
        <v>2</v>
      </c>
      <c r="B5" s="51" t="s">
        <v>22</v>
      </c>
      <c r="C5" s="37" t="s">
        <v>23</v>
      </c>
      <c r="D5" s="37" t="s">
        <v>19</v>
      </c>
      <c r="E5" s="53">
        <v>45523</v>
      </c>
      <c r="F5" s="85"/>
      <c r="G5" s="45" t="s">
        <v>24</v>
      </c>
      <c r="H5" s="46"/>
      <c r="I5" s="46"/>
      <c r="J5" s="46"/>
      <c r="K5" s="46"/>
      <c r="L5" s="27">
        <f t="shared" ref="L5:L18" si="0">SUM(P5:AZ5)</f>
        <v>0</v>
      </c>
      <c r="M5" s="27">
        <f t="shared" ref="M5:M17" si="1">F5-L5</f>
        <v>0</v>
      </c>
      <c r="N5" s="32" t="e">
        <f t="shared" ref="N5:N16" si="2">L5/F5</f>
        <v>#DIV/0!</v>
      </c>
      <c r="O5" s="32" t="e">
        <f t="shared" ref="O5:O17" si="3">1-N5</f>
        <v>#DIV/0!</v>
      </c>
      <c r="P5" s="27"/>
      <c r="Q5" s="27"/>
      <c r="R5" s="27"/>
      <c r="S5" s="27"/>
      <c r="T5" s="27"/>
      <c r="U5" s="27"/>
      <c r="V5" s="42"/>
      <c r="W5" s="42"/>
      <c r="X5" s="48"/>
      <c r="Y5" s="48"/>
      <c r="Z5" s="48"/>
      <c r="AA5" s="48"/>
      <c r="AB5" s="48"/>
      <c r="AC5" s="48"/>
      <c r="AD5" s="48"/>
      <c r="AE5" s="48"/>
      <c r="AF5" s="48"/>
      <c r="AG5" s="48"/>
      <c r="AH5" s="48"/>
      <c r="AI5" s="48"/>
      <c r="AJ5" s="48"/>
      <c r="AK5" s="48"/>
      <c r="AL5" s="48"/>
      <c r="AM5" s="48"/>
      <c r="AN5" s="48"/>
      <c r="AO5" s="48"/>
    </row>
    <row r="6" customHeight="1" spans="1:41">
      <c r="A6" s="50">
        <v>3</v>
      </c>
      <c r="B6" s="51" t="s">
        <v>25</v>
      </c>
      <c r="C6" s="37" t="s">
        <v>26</v>
      </c>
      <c r="D6" s="55" t="s">
        <v>27</v>
      </c>
      <c r="E6" s="56">
        <v>45791</v>
      </c>
      <c r="F6" s="85"/>
      <c r="G6" s="46" t="s">
        <v>28</v>
      </c>
      <c r="H6" s="46"/>
      <c r="I6" s="46"/>
      <c r="J6" s="46"/>
      <c r="K6" s="46"/>
      <c r="L6" s="27">
        <f t="shared" si="0"/>
        <v>0</v>
      </c>
      <c r="M6" s="27">
        <f t="shared" si="1"/>
        <v>0</v>
      </c>
      <c r="N6" s="32" t="e">
        <f t="shared" si="2"/>
        <v>#DIV/0!</v>
      </c>
      <c r="O6" s="32" t="e">
        <f t="shared" si="3"/>
        <v>#DIV/0!</v>
      </c>
      <c r="P6" s="27"/>
      <c r="Q6" s="27"/>
      <c r="R6" s="27"/>
      <c r="S6" s="27"/>
      <c r="T6" s="27"/>
      <c r="U6" s="27"/>
      <c r="V6" s="42"/>
      <c r="W6" s="42"/>
      <c r="X6" s="48"/>
      <c r="Y6" s="48"/>
      <c r="Z6" s="48"/>
      <c r="AA6" s="48"/>
      <c r="AB6" s="48"/>
      <c r="AC6" s="48"/>
      <c r="AD6" s="48"/>
      <c r="AE6" s="48"/>
      <c r="AF6" s="48"/>
      <c r="AG6" s="48"/>
      <c r="AH6" s="48"/>
      <c r="AI6" s="48"/>
      <c r="AJ6" s="48"/>
      <c r="AK6" s="48"/>
      <c r="AL6" s="48"/>
      <c r="AM6" s="48"/>
      <c r="AN6" s="48"/>
      <c r="AO6" s="48"/>
    </row>
    <row r="7" customHeight="1" spans="1:41">
      <c r="A7" s="50">
        <v>4</v>
      </c>
      <c r="B7" s="51" t="s">
        <v>29</v>
      </c>
      <c r="C7" s="37" t="s">
        <v>30</v>
      </c>
      <c r="D7" s="57" t="s">
        <v>31</v>
      </c>
      <c r="E7" s="58">
        <v>45873</v>
      </c>
      <c r="F7" s="85"/>
      <c r="G7" s="46" t="s">
        <v>28</v>
      </c>
      <c r="H7" s="46"/>
      <c r="I7" s="46"/>
      <c r="J7" s="46"/>
      <c r="K7" s="46"/>
      <c r="L7" s="27">
        <f t="shared" si="0"/>
        <v>0</v>
      </c>
      <c r="M7" s="27">
        <f t="shared" si="1"/>
        <v>0</v>
      </c>
      <c r="N7" s="32" t="e">
        <f t="shared" si="2"/>
        <v>#DIV/0!</v>
      </c>
      <c r="O7" s="32" t="e">
        <f t="shared" si="3"/>
        <v>#DIV/0!</v>
      </c>
      <c r="P7" s="27"/>
      <c r="Q7" s="27"/>
      <c r="R7" s="27"/>
      <c r="S7" s="27"/>
      <c r="T7" s="27"/>
      <c r="U7" s="27"/>
      <c r="V7" s="42"/>
      <c r="W7" s="42"/>
      <c r="X7" s="48"/>
      <c r="Y7" s="48"/>
      <c r="Z7" s="48"/>
      <c r="AA7" s="48"/>
      <c r="AB7" s="48"/>
      <c r="AC7" s="48"/>
      <c r="AD7" s="48"/>
      <c r="AE7" s="48"/>
      <c r="AF7" s="48"/>
      <c r="AG7" s="48"/>
      <c r="AH7" s="48"/>
      <c r="AI7" s="48"/>
      <c r="AJ7" s="48"/>
      <c r="AK7" s="48"/>
      <c r="AL7" s="48"/>
      <c r="AM7" s="48"/>
      <c r="AN7" s="48"/>
      <c r="AO7" s="48"/>
    </row>
    <row r="8" ht="33" customHeight="1" spans="1:41">
      <c r="A8" s="35">
        <v>5</v>
      </c>
      <c r="B8" s="35" t="s">
        <v>32</v>
      </c>
      <c r="C8" s="37" t="s">
        <v>33</v>
      </c>
      <c r="D8" s="59" t="s">
        <v>34</v>
      </c>
      <c r="E8" s="60">
        <v>45880</v>
      </c>
      <c r="F8" s="85"/>
      <c r="G8" s="45" t="s">
        <v>35</v>
      </c>
      <c r="H8" s="45" t="s">
        <v>36</v>
      </c>
      <c r="I8" s="45" t="s">
        <v>37</v>
      </c>
      <c r="J8" s="46"/>
      <c r="K8" s="45" t="s">
        <v>38</v>
      </c>
      <c r="L8" s="27">
        <f t="shared" si="0"/>
        <v>0</v>
      </c>
      <c r="M8" s="27">
        <f t="shared" si="1"/>
        <v>0</v>
      </c>
      <c r="N8" s="32" t="e">
        <f t="shared" si="2"/>
        <v>#DIV/0!</v>
      </c>
      <c r="O8" s="32" t="e">
        <f t="shared" si="3"/>
        <v>#DIV/0!</v>
      </c>
      <c r="P8" s="27"/>
      <c r="Q8" s="27"/>
      <c r="R8" s="27"/>
      <c r="S8" s="27"/>
      <c r="T8" s="27"/>
      <c r="U8" s="27"/>
      <c r="V8" s="42"/>
      <c r="W8" s="42"/>
      <c r="X8" s="48"/>
      <c r="Y8" s="48"/>
      <c r="Z8" s="48"/>
      <c r="AA8" s="48"/>
      <c r="AB8" s="48"/>
      <c r="AC8" s="48"/>
      <c r="AD8" s="48"/>
      <c r="AE8" s="48"/>
      <c r="AF8" s="48"/>
      <c r="AG8" s="48"/>
      <c r="AH8" s="48"/>
      <c r="AI8" s="48"/>
      <c r="AJ8" s="48"/>
      <c r="AK8" s="48"/>
      <c r="AL8" s="48"/>
      <c r="AM8" s="48"/>
      <c r="AN8" s="48"/>
      <c r="AO8" s="48"/>
    </row>
    <row r="9" customHeight="1" spans="1:41">
      <c r="A9" s="35"/>
      <c r="B9" s="35"/>
      <c r="C9" s="37" t="s">
        <v>39</v>
      </c>
      <c r="D9" s="59"/>
      <c r="E9" s="60"/>
      <c r="F9" s="85"/>
      <c r="G9" s="45" t="s">
        <v>40</v>
      </c>
      <c r="H9" s="46"/>
      <c r="I9" s="46"/>
      <c r="J9" s="46"/>
      <c r="K9" s="46"/>
      <c r="L9" s="27">
        <f t="shared" si="0"/>
        <v>0</v>
      </c>
      <c r="M9" s="27">
        <f t="shared" si="1"/>
        <v>0</v>
      </c>
      <c r="N9" s="32" t="e">
        <f t="shared" si="2"/>
        <v>#DIV/0!</v>
      </c>
      <c r="O9" s="32" t="e">
        <f t="shared" si="3"/>
        <v>#DIV/0!</v>
      </c>
      <c r="P9" s="27"/>
      <c r="Q9" s="27"/>
      <c r="R9" s="27"/>
      <c r="S9" s="27"/>
      <c r="T9" s="27"/>
      <c r="U9" s="27"/>
      <c r="V9" s="42"/>
      <c r="W9" s="42"/>
      <c r="X9" s="48"/>
      <c r="Y9" s="48"/>
      <c r="Z9" s="48"/>
      <c r="AA9" s="48"/>
      <c r="AB9" s="48"/>
      <c r="AC9" s="48"/>
      <c r="AD9" s="48"/>
      <c r="AE9" s="48"/>
      <c r="AF9" s="48"/>
      <c r="AG9" s="48"/>
      <c r="AH9" s="48"/>
      <c r="AI9" s="48"/>
      <c r="AJ9" s="48"/>
      <c r="AK9" s="48"/>
      <c r="AL9" s="48"/>
      <c r="AM9" s="48"/>
      <c r="AN9" s="48"/>
      <c r="AO9" s="48"/>
    </row>
    <row r="10" customHeight="1" spans="1:41">
      <c r="A10" s="50">
        <v>6</v>
      </c>
      <c r="B10" s="51" t="s">
        <v>41</v>
      </c>
      <c r="C10" s="37" t="s">
        <v>42</v>
      </c>
      <c r="D10" s="37" t="s">
        <v>43</v>
      </c>
      <c r="E10" s="53">
        <v>45887</v>
      </c>
      <c r="F10" s="86"/>
      <c r="G10" s="45" t="s">
        <v>44</v>
      </c>
      <c r="H10" s="46"/>
      <c r="I10" s="45"/>
      <c r="J10" s="46"/>
      <c r="K10" s="45"/>
      <c r="L10" s="27">
        <f t="shared" si="0"/>
        <v>0</v>
      </c>
      <c r="M10" s="27">
        <f t="shared" si="1"/>
        <v>0</v>
      </c>
      <c r="N10" s="32" t="e">
        <f t="shared" si="2"/>
        <v>#DIV/0!</v>
      </c>
      <c r="O10" s="32" t="e">
        <f t="shared" si="3"/>
        <v>#DIV/0!</v>
      </c>
      <c r="P10" s="27"/>
      <c r="Q10" s="27"/>
      <c r="R10" s="27"/>
      <c r="S10" s="27"/>
      <c r="T10" s="27"/>
      <c r="U10" s="27"/>
      <c r="V10" s="42"/>
      <c r="W10" s="42"/>
      <c r="X10" s="48"/>
      <c r="Y10" s="48"/>
      <c r="Z10" s="48"/>
      <c r="AA10" s="48"/>
      <c r="AB10" s="48"/>
      <c r="AC10" s="48"/>
      <c r="AD10" s="48"/>
      <c r="AE10" s="48"/>
      <c r="AF10" s="48"/>
      <c r="AG10" s="48"/>
      <c r="AH10" s="48"/>
      <c r="AI10" s="48"/>
      <c r="AJ10" s="48"/>
      <c r="AK10" s="48"/>
      <c r="AL10" s="48"/>
      <c r="AM10" s="48"/>
      <c r="AN10" s="48"/>
      <c r="AO10" s="48"/>
    </row>
    <row r="11" customHeight="1" spans="1:41">
      <c r="A11" s="50">
        <v>7</v>
      </c>
      <c r="B11" s="51" t="s">
        <v>45</v>
      </c>
      <c r="C11" s="37" t="s">
        <v>46</v>
      </c>
      <c r="D11" s="37" t="s">
        <v>47</v>
      </c>
      <c r="E11" s="53">
        <v>45981</v>
      </c>
      <c r="F11" s="87"/>
      <c r="G11" s="45" t="s">
        <v>48</v>
      </c>
      <c r="H11" s="46"/>
      <c r="I11" s="46"/>
      <c r="J11" s="46"/>
      <c r="K11" s="46"/>
      <c r="L11" s="27">
        <f t="shared" si="0"/>
        <v>0</v>
      </c>
      <c r="M11" s="27">
        <f t="shared" si="1"/>
        <v>0</v>
      </c>
      <c r="N11" s="32" t="e">
        <f t="shared" si="2"/>
        <v>#DIV/0!</v>
      </c>
      <c r="O11" s="32" t="e">
        <f t="shared" si="3"/>
        <v>#DIV/0!</v>
      </c>
      <c r="P11" s="27"/>
      <c r="Q11" s="27"/>
      <c r="R11" s="27"/>
      <c r="S11" s="27"/>
      <c r="T11" s="27"/>
      <c r="U11" s="27"/>
      <c r="V11" s="42"/>
      <c r="W11" s="42"/>
      <c r="X11" s="48"/>
      <c r="Y11" s="48"/>
      <c r="Z11" s="48"/>
      <c r="AA11" s="48"/>
      <c r="AB11" s="48"/>
      <c r="AC11" s="48"/>
      <c r="AD11" s="48"/>
      <c r="AE11" s="48"/>
      <c r="AF11" s="48"/>
      <c r="AG11" s="48"/>
      <c r="AH11" s="48"/>
      <c r="AI11" s="48"/>
      <c r="AJ11" s="48"/>
      <c r="AK11" s="48"/>
      <c r="AL11" s="48"/>
      <c r="AM11" s="48"/>
      <c r="AN11" s="48"/>
      <c r="AO11" s="48"/>
    </row>
    <row r="12" customHeight="1" spans="1:41">
      <c r="A12" s="35">
        <v>8</v>
      </c>
      <c r="B12" s="36" t="s">
        <v>49</v>
      </c>
      <c r="C12" s="37" t="s">
        <v>50</v>
      </c>
      <c r="D12" s="38" t="s">
        <v>51</v>
      </c>
      <c r="E12" s="39">
        <v>45987</v>
      </c>
      <c r="F12" s="87"/>
      <c r="H12" s="45" t="s">
        <v>52</v>
      </c>
      <c r="I12" s="45" t="s">
        <v>53</v>
      </c>
      <c r="J12" s="46"/>
      <c r="K12" s="45" t="s">
        <v>54</v>
      </c>
      <c r="L12" s="27">
        <f t="shared" si="0"/>
        <v>0</v>
      </c>
      <c r="M12" s="27">
        <f t="shared" si="1"/>
        <v>0</v>
      </c>
      <c r="N12" s="32" t="e">
        <f t="shared" si="2"/>
        <v>#DIV/0!</v>
      </c>
      <c r="O12" s="32" t="e">
        <f t="shared" si="3"/>
        <v>#DIV/0!</v>
      </c>
      <c r="P12" s="27"/>
      <c r="Q12" s="27"/>
      <c r="R12" s="88"/>
      <c r="S12" s="27"/>
      <c r="U12" s="27"/>
      <c r="V12" s="42"/>
      <c r="W12" s="42"/>
      <c r="X12" s="48"/>
      <c r="Y12" s="48"/>
      <c r="Z12" s="48"/>
      <c r="AA12" s="48"/>
      <c r="AB12" s="48"/>
      <c r="AC12" s="48"/>
      <c r="AD12" s="48"/>
      <c r="AE12" s="48"/>
      <c r="AF12" s="48"/>
      <c r="AG12" s="48"/>
      <c r="AH12" s="48"/>
      <c r="AI12" s="48"/>
      <c r="AJ12" s="48"/>
      <c r="AK12" s="48"/>
      <c r="AL12" s="48"/>
      <c r="AM12" s="48"/>
      <c r="AN12" s="48"/>
      <c r="AO12" s="48"/>
    </row>
    <row r="13" customHeight="1" spans="1:41">
      <c r="A13" s="50"/>
      <c r="B13" s="51"/>
      <c r="C13" s="37" t="s">
        <v>55</v>
      </c>
      <c r="D13" s="37" t="s">
        <v>56</v>
      </c>
      <c r="E13" s="53"/>
      <c r="F13" s="87"/>
      <c r="G13" s="46"/>
      <c r="H13" s="46"/>
      <c r="I13" s="46"/>
      <c r="J13" s="46"/>
      <c r="K13" s="46"/>
      <c r="L13" s="27">
        <f t="shared" si="0"/>
        <v>0</v>
      </c>
      <c r="M13" s="27">
        <f t="shared" si="1"/>
        <v>0</v>
      </c>
      <c r="N13" s="32" t="e">
        <f t="shared" si="2"/>
        <v>#DIV/0!</v>
      </c>
      <c r="O13" s="32" t="e">
        <f t="shared" si="3"/>
        <v>#DIV/0!</v>
      </c>
      <c r="P13" s="27"/>
      <c r="Q13" s="27"/>
      <c r="R13" s="88"/>
      <c r="S13" s="27"/>
      <c r="T13" s="27"/>
      <c r="U13" s="27"/>
      <c r="V13" s="42"/>
      <c r="W13" s="42"/>
      <c r="X13" s="48"/>
      <c r="Y13" s="48"/>
      <c r="Z13" s="48"/>
      <c r="AA13" s="48"/>
      <c r="AB13" s="48"/>
      <c r="AC13" s="48"/>
      <c r="AD13" s="48"/>
      <c r="AE13" s="48"/>
      <c r="AF13" s="48"/>
      <c r="AG13" s="48"/>
      <c r="AH13" s="48"/>
      <c r="AI13" s="48"/>
      <c r="AJ13" s="48"/>
      <c r="AK13" s="48"/>
      <c r="AL13" s="48"/>
      <c r="AM13" s="48"/>
      <c r="AN13" s="48"/>
      <c r="AO13" s="48"/>
    </row>
    <row r="14" customHeight="1" spans="1:41">
      <c r="A14" s="35"/>
      <c r="B14" s="36"/>
      <c r="C14" s="37" t="s">
        <v>57</v>
      </c>
      <c r="D14" s="38" t="s">
        <v>58</v>
      </c>
      <c r="E14" s="39"/>
      <c r="F14" s="87"/>
      <c r="G14" s="45" t="s">
        <v>59</v>
      </c>
      <c r="H14" s="45" t="s">
        <v>60</v>
      </c>
      <c r="I14" s="45" t="s">
        <v>61</v>
      </c>
      <c r="J14" s="45" t="s">
        <v>62</v>
      </c>
      <c r="K14" s="45" t="s">
        <v>63</v>
      </c>
      <c r="L14" s="27">
        <f t="shared" si="0"/>
        <v>0</v>
      </c>
      <c r="M14" s="27">
        <f t="shared" si="1"/>
        <v>0</v>
      </c>
      <c r="N14" s="32" t="e">
        <f t="shared" si="2"/>
        <v>#DIV/0!</v>
      </c>
      <c r="O14" s="32" t="e">
        <f t="shared" si="3"/>
        <v>#DIV/0!</v>
      </c>
      <c r="P14" s="27"/>
      <c r="Q14" s="27"/>
      <c r="R14" s="27"/>
      <c r="S14" s="27"/>
      <c r="T14" s="27"/>
      <c r="U14" s="27"/>
      <c r="V14" s="42"/>
      <c r="W14" s="42"/>
      <c r="X14" s="48"/>
      <c r="Y14" s="48"/>
      <c r="Z14" s="48"/>
      <c r="AA14" s="48"/>
      <c r="AB14" s="48"/>
      <c r="AC14" s="48"/>
      <c r="AD14" s="48"/>
      <c r="AE14" s="48"/>
      <c r="AF14" s="48"/>
      <c r="AG14" s="48"/>
      <c r="AH14" s="48"/>
      <c r="AI14" s="48"/>
      <c r="AJ14" s="48"/>
      <c r="AK14" s="48"/>
      <c r="AL14" s="48"/>
      <c r="AM14" s="48"/>
      <c r="AN14" s="48"/>
      <c r="AO14" s="48"/>
    </row>
    <row r="15" customHeight="1" spans="1:41">
      <c r="A15" s="35"/>
      <c r="B15" s="36"/>
      <c r="C15" s="37" t="s">
        <v>33</v>
      </c>
      <c r="D15" s="49" t="s">
        <v>64</v>
      </c>
      <c r="E15" s="39"/>
      <c r="F15" s="87"/>
      <c r="G15" s="3" t="s">
        <v>65</v>
      </c>
      <c r="H15" s="45" t="s">
        <v>66</v>
      </c>
      <c r="I15" s="45" t="s">
        <v>67</v>
      </c>
      <c r="J15" s="46"/>
      <c r="K15" s="46"/>
      <c r="L15" s="27">
        <f t="shared" si="0"/>
        <v>0</v>
      </c>
      <c r="M15" s="27">
        <f t="shared" si="1"/>
        <v>0</v>
      </c>
      <c r="N15" s="32" t="e">
        <f t="shared" si="2"/>
        <v>#DIV/0!</v>
      </c>
      <c r="O15" s="32" t="e">
        <f t="shared" si="3"/>
        <v>#DIV/0!</v>
      </c>
      <c r="P15" s="27"/>
      <c r="Q15" s="27"/>
      <c r="R15" s="89"/>
      <c r="S15" s="27"/>
      <c r="T15" s="27"/>
      <c r="U15" s="27"/>
      <c r="V15" s="42"/>
      <c r="W15" s="42"/>
      <c r="X15" s="48"/>
      <c r="Y15" s="48"/>
      <c r="Z15" s="48"/>
      <c r="AA15" s="48"/>
      <c r="AB15" s="48"/>
      <c r="AC15" s="48"/>
      <c r="AD15" s="48"/>
      <c r="AE15" s="48"/>
      <c r="AF15" s="48"/>
      <c r="AG15" s="48"/>
      <c r="AH15" s="48"/>
      <c r="AI15" s="48"/>
      <c r="AJ15" s="48"/>
      <c r="AK15" s="48"/>
      <c r="AL15" s="48"/>
      <c r="AM15" s="48"/>
      <c r="AN15" s="48"/>
      <c r="AO15" s="48"/>
    </row>
    <row r="16" customHeight="1" spans="1:41">
      <c r="A16" s="35">
        <v>9</v>
      </c>
      <c r="B16" s="35" t="s">
        <v>68</v>
      </c>
      <c r="C16" s="62" t="s">
        <v>69</v>
      </c>
      <c r="D16" s="37" t="s">
        <v>70</v>
      </c>
      <c r="E16" s="39">
        <v>45988</v>
      </c>
      <c r="F16" s="87"/>
      <c r="G16" s="46" t="s">
        <v>71</v>
      </c>
      <c r="H16" s="45" t="s">
        <v>72</v>
      </c>
      <c r="I16" s="45" t="s">
        <v>73</v>
      </c>
      <c r="J16" s="45" t="s">
        <v>74</v>
      </c>
      <c r="K16" s="45" t="s">
        <v>75</v>
      </c>
      <c r="L16" s="27">
        <f t="shared" si="0"/>
        <v>0</v>
      </c>
      <c r="M16" s="27">
        <f t="shared" si="1"/>
        <v>0</v>
      </c>
      <c r="N16" s="32" t="e">
        <f t="shared" si="2"/>
        <v>#DIV/0!</v>
      </c>
      <c r="O16" s="32" t="e">
        <f t="shared" si="3"/>
        <v>#DIV/0!</v>
      </c>
      <c r="P16" s="27"/>
      <c r="Q16" s="27"/>
      <c r="R16" s="27"/>
      <c r="S16" s="27"/>
      <c r="T16" s="27"/>
      <c r="U16" s="27"/>
      <c r="V16" s="42"/>
      <c r="W16" s="42"/>
      <c r="X16" s="48"/>
      <c r="Y16" s="48"/>
      <c r="Z16" s="48"/>
      <c r="AA16" s="48"/>
      <c r="AB16" s="48"/>
      <c r="AC16" s="48"/>
      <c r="AD16" s="48"/>
      <c r="AE16" s="48"/>
      <c r="AF16" s="48"/>
      <c r="AG16" s="48"/>
      <c r="AH16" s="48"/>
      <c r="AI16" s="48"/>
      <c r="AJ16" s="48"/>
      <c r="AK16" s="48"/>
      <c r="AL16" s="48"/>
      <c r="AM16" s="48"/>
      <c r="AN16" s="48"/>
      <c r="AO16" s="48"/>
    </row>
    <row r="17" customHeight="1" spans="1:41">
      <c r="A17" s="35"/>
      <c r="B17" s="35"/>
      <c r="C17" s="62"/>
      <c r="D17" s="37" t="s">
        <v>76</v>
      </c>
      <c r="E17" s="39"/>
      <c r="F17" s="87"/>
      <c r="G17" s="45" t="s">
        <v>77</v>
      </c>
      <c r="H17" s="45" t="s">
        <v>78</v>
      </c>
      <c r="I17" s="45" t="s">
        <v>79</v>
      </c>
      <c r="J17" s="46"/>
      <c r="K17" s="45" t="s">
        <v>80</v>
      </c>
      <c r="L17" s="27">
        <f t="shared" si="0"/>
        <v>0</v>
      </c>
      <c r="M17" s="27">
        <f t="shared" si="1"/>
        <v>0</v>
      </c>
      <c r="N17" s="32" t="e">
        <f t="shared" ref="N17:N27" si="4">L17/F17</f>
        <v>#DIV/0!</v>
      </c>
      <c r="O17" s="32" t="e">
        <f t="shared" si="3"/>
        <v>#DIV/0!</v>
      </c>
      <c r="P17" s="27"/>
      <c r="Q17" s="27"/>
      <c r="R17" s="27"/>
      <c r="S17" s="27"/>
      <c r="T17" s="27"/>
      <c r="U17" s="27"/>
      <c r="V17" s="42"/>
      <c r="W17" s="42"/>
      <c r="X17" s="48"/>
      <c r="Y17" s="48"/>
      <c r="Z17" s="48"/>
      <c r="AA17" s="48"/>
      <c r="AB17" s="48"/>
      <c r="AC17" s="48"/>
      <c r="AD17" s="48"/>
      <c r="AE17" s="48"/>
      <c r="AF17" s="48"/>
      <c r="AG17" s="48"/>
      <c r="AH17" s="48"/>
      <c r="AI17" s="48"/>
      <c r="AJ17" s="48"/>
      <c r="AK17" s="48"/>
      <c r="AL17" s="48"/>
      <c r="AM17" s="48"/>
      <c r="AN17" s="48"/>
      <c r="AO17" s="48"/>
    </row>
    <row r="18" customHeight="1" spans="1:41">
      <c r="A18" s="35"/>
      <c r="B18" s="35"/>
      <c r="C18" s="62"/>
      <c r="D18" s="37" t="s">
        <v>81</v>
      </c>
      <c r="E18" s="39"/>
      <c r="F18" s="87"/>
      <c r="G18" s="45" t="s">
        <v>82</v>
      </c>
      <c r="H18" s="45" t="s">
        <v>83</v>
      </c>
      <c r="I18" s="46"/>
      <c r="J18" s="46"/>
      <c r="K18" s="45" t="s">
        <v>84</v>
      </c>
      <c r="L18" s="27">
        <f t="shared" si="0"/>
        <v>0</v>
      </c>
      <c r="M18" s="27">
        <f t="shared" ref="M18:M25" si="5">F18-L18</f>
        <v>0</v>
      </c>
      <c r="N18" s="32" t="e">
        <f t="shared" si="4"/>
        <v>#DIV/0!</v>
      </c>
      <c r="O18" s="32" t="e">
        <f t="shared" ref="O18:O25" si="6">1-N18</f>
        <v>#DIV/0!</v>
      </c>
      <c r="P18" s="27"/>
      <c r="Q18" s="27"/>
      <c r="R18" s="27"/>
      <c r="S18" s="27"/>
      <c r="T18" s="27"/>
      <c r="U18" s="27"/>
      <c r="V18" s="42"/>
      <c r="W18" s="42"/>
      <c r="X18" s="48"/>
      <c r="Y18" s="48"/>
      <c r="Z18" s="48"/>
      <c r="AA18" s="48"/>
      <c r="AB18" s="48"/>
      <c r="AC18" s="48"/>
      <c r="AD18" s="48"/>
      <c r="AE18" s="48"/>
      <c r="AF18" s="48"/>
      <c r="AG18" s="48"/>
      <c r="AH18" s="48"/>
      <c r="AI18" s="48"/>
      <c r="AJ18" s="48"/>
      <c r="AK18" s="48"/>
      <c r="AL18" s="48"/>
      <c r="AM18" s="48"/>
      <c r="AN18" s="48"/>
      <c r="AO18" s="48"/>
    </row>
    <row r="19" customHeight="1" spans="1:41">
      <c r="A19" s="50">
        <v>10</v>
      </c>
      <c r="B19" s="51" t="s">
        <v>85</v>
      </c>
      <c r="C19" s="37" t="s">
        <v>86</v>
      </c>
      <c r="D19" s="37" t="s">
        <v>87</v>
      </c>
      <c r="E19" s="53">
        <v>46008</v>
      </c>
      <c r="F19" s="87"/>
      <c r="G19" s="46" t="s">
        <v>88</v>
      </c>
      <c r="H19" s="45" t="s">
        <v>89</v>
      </c>
      <c r="I19" s="45" t="s">
        <v>90</v>
      </c>
      <c r="J19" s="46"/>
      <c r="K19" s="45" t="s">
        <v>91</v>
      </c>
      <c r="L19" s="27">
        <f t="shared" ref="L19:L27" si="7">SUM(P19:AZ19)</f>
        <v>0</v>
      </c>
      <c r="M19" s="27">
        <f t="shared" si="5"/>
        <v>0</v>
      </c>
      <c r="N19" s="32" t="e">
        <f t="shared" si="4"/>
        <v>#DIV/0!</v>
      </c>
      <c r="O19" s="32" t="e">
        <f t="shared" si="6"/>
        <v>#DIV/0!</v>
      </c>
      <c r="P19" s="27"/>
      <c r="Q19" s="27"/>
      <c r="R19" s="27"/>
      <c r="S19" s="27"/>
      <c r="T19" s="27"/>
      <c r="U19" s="27"/>
      <c r="V19" s="42"/>
      <c r="W19" s="42"/>
      <c r="X19" s="48"/>
      <c r="Y19" s="48"/>
      <c r="Z19" s="48"/>
      <c r="AA19" s="48"/>
      <c r="AB19" s="48"/>
      <c r="AC19" s="48"/>
      <c r="AD19" s="48"/>
      <c r="AE19" s="48"/>
      <c r="AF19" s="48"/>
      <c r="AG19" s="48"/>
      <c r="AH19" s="48"/>
      <c r="AI19" s="48"/>
      <c r="AJ19" s="48"/>
      <c r="AK19" s="48"/>
      <c r="AL19" s="48"/>
      <c r="AM19" s="48"/>
      <c r="AN19" s="48"/>
      <c r="AO19" s="48"/>
    </row>
    <row r="20" customHeight="1" spans="1:41">
      <c r="A20" s="50">
        <v>11</v>
      </c>
      <c r="B20" s="51" t="s">
        <v>92</v>
      </c>
      <c r="C20" s="37" t="s">
        <v>86</v>
      </c>
      <c r="D20" s="37" t="s">
        <v>93</v>
      </c>
      <c r="E20" s="53">
        <v>46036</v>
      </c>
      <c r="F20" s="87"/>
      <c r="G20" s="45" t="s">
        <v>94</v>
      </c>
      <c r="H20" s="45" t="s">
        <v>95</v>
      </c>
      <c r="I20" s="46"/>
      <c r="J20" s="46"/>
      <c r="K20" s="45" t="s">
        <v>96</v>
      </c>
      <c r="L20" s="27">
        <f t="shared" si="7"/>
        <v>0</v>
      </c>
      <c r="M20" s="27">
        <f t="shared" si="5"/>
        <v>0</v>
      </c>
      <c r="N20" s="32" t="e">
        <f t="shared" si="4"/>
        <v>#DIV/0!</v>
      </c>
      <c r="O20" s="32" t="e">
        <f t="shared" si="6"/>
        <v>#DIV/0!</v>
      </c>
      <c r="P20" s="27"/>
      <c r="Q20" s="27"/>
      <c r="R20" s="27"/>
      <c r="S20" s="27"/>
      <c r="T20" s="27"/>
      <c r="U20" s="27"/>
      <c r="V20" s="42"/>
      <c r="W20" s="42"/>
      <c r="X20" s="48"/>
      <c r="Y20" s="48"/>
      <c r="Z20" s="48"/>
      <c r="AA20" s="48"/>
      <c r="AB20" s="48"/>
      <c r="AC20" s="48"/>
      <c r="AD20" s="48"/>
      <c r="AE20" s="48"/>
      <c r="AF20" s="48"/>
      <c r="AG20" s="48"/>
      <c r="AH20" s="48"/>
      <c r="AI20" s="48"/>
      <c r="AJ20" s="48"/>
      <c r="AK20" s="48"/>
      <c r="AL20" s="48"/>
      <c r="AM20" s="48"/>
      <c r="AN20" s="48"/>
      <c r="AO20" s="48"/>
    </row>
    <row r="21" customHeight="1" spans="1:41">
      <c r="A21" s="50">
        <v>12</v>
      </c>
      <c r="B21" s="51" t="s">
        <v>97</v>
      </c>
      <c r="C21" s="37" t="s">
        <v>98</v>
      </c>
      <c r="D21" s="66" t="s">
        <v>99</v>
      </c>
      <c r="E21" s="53">
        <v>46036</v>
      </c>
      <c r="F21" s="87"/>
      <c r="G21" s="46" t="s">
        <v>88</v>
      </c>
      <c r="I21" s="45" t="s">
        <v>100</v>
      </c>
      <c r="J21" s="46"/>
      <c r="K21" s="46"/>
      <c r="L21" s="27">
        <f t="shared" si="7"/>
        <v>0</v>
      </c>
      <c r="M21" s="27">
        <f t="shared" si="5"/>
        <v>0</v>
      </c>
      <c r="N21" s="32" t="e">
        <f t="shared" si="4"/>
        <v>#DIV/0!</v>
      </c>
      <c r="O21" s="32" t="e">
        <f t="shared" si="6"/>
        <v>#DIV/0!</v>
      </c>
      <c r="P21" s="27"/>
      <c r="Q21" s="27"/>
      <c r="R21" s="27"/>
      <c r="S21" s="27"/>
      <c r="T21" s="27"/>
      <c r="U21" s="27"/>
      <c r="V21" s="42"/>
      <c r="W21" s="42"/>
      <c r="X21" s="48"/>
      <c r="Y21" s="48"/>
      <c r="Z21" s="48"/>
      <c r="AA21" s="48"/>
      <c r="AB21" s="48"/>
      <c r="AC21" s="48"/>
      <c r="AD21" s="48"/>
      <c r="AE21" s="48"/>
      <c r="AF21" s="48"/>
      <c r="AG21" s="48"/>
      <c r="AH21" s="48"/>
      <c r="AI21" s="48"/>
      <c r="AJ21" s="48"/>
      <c r="AK21" s="48"/>
      <c r="AL21" s="48"/>
      <c r="AM21" s="48"/>
      <c r="AN21" s="48"/>
      <c r="AO21" s="48"/>
    </row>
    <row r="22" customHeight="1" spans="1:41">
      <c r="A22" s="50">
        <v>13</v>
      </c>
      <c r="B22" s="51" t="s">
        <v>101</v>
      </c>
      <c r="C22" s="37" t="s">
        <v>55</v>
      </c>
      <c r="D22" s="37" t="s">
        <v>56</v>
      </c>
      <c r="E22" s="53">
        <v>46043</v>
      </c>
      <c r="F22" s="87"/>
      <c r="G22" s="46"/>
      <c r="H22" s="46"/>
      <c r="I22" s="46"/>
      <c r="J22" s="46"/>
      <c r="K22" s="46"/>
      <c r="L22" s="27">
        <f t="shared" si="7"/>
        <v>0</v>
      </c>
      <c r="M22" s="27">
        <f t="shared" ref="M22:M27" si="8">F22-L22</f>
        <v>0</v>
      </c>
      <c r="N22" s="32" t="e">
        <f t="shared" si="4"/>
        <v>#DIV/0!</v>
      </c>
      <c r="O22" s="32" t="e">
        <f t="shared" si="6"/>
        <v>#DIV/0!</v>
      </c>
      <c r="P22" s="27"/>
      <c r="Q22" s="27"/>
      <c r="R22" s="27"/>
      <c r="S22" s="27"/>
      <c r="T22" s="27"/>
      <c r="U22" s="27"/>
      <c r="V22" s="42"/>
      <c r="W22" s="42"/>
      <c r="X22" s="48"/>
      <c r="Y22" s="48"/>
      <c r="Z22" s="48"/>
      <c r="AA22" s="48"/>
      <c r="AB22" s="48"/>
      <c r="AC22" s="48"/>
      <c r="AD22" s="48"/>
      <c r="AE22" s="48"/>
      <c r="AF22" s="48"/>
      <c r="AG22" s="48"/>
      <c r="AH22" s="48"/>
      <c r="AI22" s="48"/>
      <c r="AJ22" s="48"/>
      <c r="AK22" s="48"/>
      <c r="AL22" s="48"/>
      <c r="AM22" s="48"/>
      <c r="AN22" s="48"/>
      <c r="AO22" s="48"/>
    </row>
    <row r="23" customHeight="1" spans="1:41">
      <c r="A23" s="50">
        <v>14</v>
      </c>
      <c r="B23" s="51" t="s">
        <v>102</v>
      </c>
      <c r="C23" s="37" t="s">
        <v>103</v>
      </c>
      <c r="D23" s="66" t="s">
        <v>104</v>
      </c>
      <c r="E23" s="53">
        <v>46049</v>
      </c>
      <c r="F23" s="87"/>
      <c r="G23" s="45" t="s">
        <v>105</v>
      </c>
      <c r="H23" s="46"/>
      <c r="I23" s="46"/>
      <c r="J23" s="46"/>
      <c r="K23" s="46"/>
      <c r="L23" s="27">
        <f t="shared" si="7"/>
        <v>0</v>
      </c>
      <c r="M23" s="27">
        <f t="shared" si="8"/>
        <v>0</v>
      </c>
      <c r="N23" s="32" t="e">
        <f t="shared" si="4"/>
        <v>#DIV/0!</v>
      </c>
      <c r="O23" s="32" t="e">
        <f t="shared" si="6"/>
        <v>#DIV/0!</v>
      </c>
      <c r="P23" s="27"/>
      <c r="Q23" s="27"/>
      <c r="R23" s="27"/>
      <c r="S23" s="27"/>
      <c r="T23" s="27"/>
      <c r="U23" s="27"/>
      <c r="V23" s="42"/>
      <c r="W23" s="42"/>
      <c r="X23" s="48"/>
      <c r="Y23" s="48"/>
      <c r="Z23" s="48"/>
      <c r="AA23" s="48"/>
      <c r="AB23" s="48"/>
      <c r="AC23" s="48"/>
      <c r="AD23" s="48"/>
      <c r="AE23" s="48"/>
      <c r="AF23" s="48"/>
      <c r="AG23" s="48"/>
      <c r="AH23" s="48"/>
      <c r="AI23" s="48"/>
      <c r="AJ23" s="48"/>
      <c r="AK23" s="48"/>
      <c r="AL23" s="48"/>
      <c r="AM23" s="48"/>
      <c r="AN23" s="48"/>
      <c r="AO23" s="48"/>
    </row>
    <row r="24" customHeight="1" spans="1:41">
      <c r="A24" s="67">
        <v>15</v>
      </c>
      <c r="B24" s="67" t="s">
        <v>106</v>
      </c>
      <c r="C24" s="68" t="s">
        <v>107</v>
      </c>
      <c r="D24" s="69" t="s">
        <v>108</v>
      </c>
      <c r="E24" s="70">
        <v>46051</v>
      </c>
      <c r="F24" s="90"/>
      <c r="G24" s="45" t="s">
        <v>109</v>
      </c>
      <c r="H24" s="45" t="s">
        <v>110</v>
      </c>
      <c r="I24" s="45" t="s">
        <v>111</v>
      </c>
      <c r="J24" s="46"/>
      <c r="K24" s="46"/>
      <c r="L24" s="27">
        <f t="shared" si="7"/>
        <v>0</v>
      </c>
      <c r="M24" s="27">
        <f t="shared" si="8"/>
        <v>0</v>
      </c>
      <c r="N24" s="32" t="e">
        <f t="shared" si="4"/>
        <v>#DIV/0!</v>
      </c>
      <c r="O24" s="32" t="e">
        <f t="shared" si="6"/>
        <v>#DIV/0!</v>
      </c>
      <c r="P24" s="27"/>
      <c r="Q24" s="27"/>
      <c r="R24" s="27"/>
      <c r="S24" s="27"/>
      <c r="T24" s="27"/>
      <c r="U24" s="27"/>
      <c r="V24" s="42"/>
      <c r="W24" s="42"/>
      <c r="X24" s="48"/>
      <c r="Y24" s="48"/>
      <c r="Z24" s="48"/>
      <c r="AA24" s="48"/>
      <c r="AB24" s="48"/>
      <c r="AC24" s="48"/>
      <c r="AD24" s="48"/>
      <c r="AE24" s="48"/>
      <c r="AF24" s="48"/>
      <c r="AG24" s="48"/>
      <c r="AH24" s="48"/>
      <c r="AI24" s="48"/>
      <c r="AJ24" s="48"/>
      <c r="AK24" s="48"/>
      <c r="AL24" s="48"/>
      <c r="AM24" s="48"/>
      <c r="AN24" s="48"/>
      <c r="AO24" s="48"/>
    </row>
    <row r="25" customHeight="1" spans="1:41">
      <c r="A25" s="67">
        <v>16</v>
      </c>
      <c r="B25" s="67" t="s">
        <v>112</v>
      </c>
      <c r="C25" s="68" t="s">
        <v>113</v>
      </c>
      <c r="D25" s="69" t="s">
        <v>114</v>
      </c>
      <c r="E25" s="70">
        <v>46056</v>
      </c>
      <c r="F25" s="90"/>
      <c r="G25" s="46" t="s">
        <v>115</v>
      </c>
      <c r="H25" s="45" t="s">
        <v>116</v>
      </c>
      <c r="I25" s="45" t="s">
        <v>117</v>
      </c>
      <c r="J25" s="46"/>
      <c r="K25" s="46"/>
      <c r="L25" s="27">
        <f t="shared" si="7"/>
        <v>0</v>
      </c>
      <c r="M25" s="27">
        <f t="shared" si="8"/>
        <v>0</v>
      </c>
      <c r="N25" s="32" t="e">
        <f t="shared" si="4"/>
        <v>#DIV/0!</v>
      </c>
      <c r="O25" s="32" t="e">
        <f t="shared" si="6"/>
        <v>#DIV/0!</v>
      </c>
      <c r="P25" s="27"/>
      <c r="Q25" s="27"/>
      <c r="R25" s="27"/>
      <c r="S25" s="27"/>
      <c r="T25" s="27"/>
      <c r="U25" s="27"/>
      <c r="V25" s="42"/>
      <c r="W25" s="42"/>
      <c r="X25" s="48"/>
      <c r="Y25" s="48"/>
      <c r="Z25" s="48"/>
      <c r="AA25" s="48"/>
      <c r="AB25" s="48"/>
      <c r="AC25" s="48"/>
      <c r="AD25" s="48"/>
      <c r="AE25" s="48"/>
      <c r="AF25" s="48"/>
      <c r="AG25" s="48"/>
      <c r="AH25" s="48"/>
      <c r="AI25" s="48"/>
      <c r="AJ25" s="48"/>
      <c r="AK25" s="48"/>
      <c r="AL25" s="48"/>
      <c r="AM25" s="48"/>
      <c r="AN25" s="48"/>
      <c r="AO25" s="48"/>
    </row>
    <row r="26" customHeight="1" spans="1:41">
      <c r="A26" s="67">
        <v>17</v>
      </c>
      <c r="B26" s="67" t="s">
        <v>118</v>
      </c>
      <c r="C26" s="68" t="s">
        <v>119</v>
      </c>
      <c r="D26" s="69" t="s">
        <v>120</v>
      </c>
      <c r="E26" s="70">
        <v>46098</v>
      </c>
      <c r="F26" s="90"/>
      <c r="G26" s="45" t="s">
        <v>121</v>
      </c>
      <c r="H26" s="46"/>
      <c r="I26" s="46"/>
      <c r="J26" s="46"/>
      <c r="K26" s="46"/>
      <c r="L26" s="27">
        <f t="shared" si="7"/>
        <v>0</v>
      </c>
      <c r="M26" s="27">
        <f t="shared" si="8"/>
        <v>0</v>
      </c>
      <c r="N26" s="32" t="e">
        <f t="shared" si="4"/>
        <v>#DIV/0!</v>
      </c>
      <c r="O26" s="28"/>
      <c r="P26" s="27"/>
      <c r="Q26" s="27"/>
      <c r="R26" s="27"/>
      <c r="S26" s="27"/>
      <c r="T26" s="27"/>
      <c r="U26" s="27"/>
      <c r="V26" s="42"/>
      <c r="W26" s="42"/>
      <c r="X26" s="48"/>
      <c r="Y26" s="48"/>
      <c r="Z26" s="48"/>
      <c r="AA26" s="48"/>
      <c r="AB26" s="48"/>
      <c r="AC26" s="48"/>
      <c r="AD26" s="48"/>
      <c r="AE26" s="48"/>
      <c r="AF26" s="48"/>
      <c r="AG26" s="48"/>
      <c r="AH26" s="48"/>
      <c r="AI26" s="48"/>
      <c r="AJ26" s="48"/>
      <c r="AK26" s="48"/>
      <c r="AL26" s="48"/>
      <c r="AM26" s="48"/>
      <c r="AN26" s="48"/>
      <c r="AO26" s="48"/>
    </row>
    <row r="27" customHeight="1" spans="1:41">
      <c r="A27" s="67">
        <v>18</v>
      </c>
      <c r="B27" s="67" t="s">
        <v>122</v>
      </c>
      <c r="C27" s="68" t="s">
        <v>123</v>
      </c>
      <c r="D27" s="69" t="s">
        <v>124</v>
      </c>
      <c r="E27" s="70">
        <v>46108</v>
      </c>
      <c r="F27" s="90"/>
      <c r="G27" s="45" t="s">
        <v>125</v>
      </c>
      <c r="H27" s="45" t="s">
        <v>126</v>
      </c>
      <c r="I27" s="45" t="s">
        <v>127</v>
      </c>
      <c r="J27" s="46"/>
      <c r="K27" s="46"/>
      <c r="L27" s="27">
        <f t="shared" si="7"/>
        <v>0</v>
      </c>
      <c r="M27" s="27">
        <f t="shared" si="8"/>
        <v>0</v>
      </c>
      <c r="N27" s="32" t="e">
        <f t="shared" si="4"/>
        <v>#DIV/0!</v>
      </c>
      <c r="O27" s="28"/>
      <c r="P27" s="27"/>
      <c r="Q27" s="27"/>
      <c r="R27" s="27"/>
      <c r="S27" s="27"/>
      <c r="T27" s="27"/>
      <c r="U27" s="88"/>
      <c r="V27" s="42"/>
      <c r="W27" s="42"/>
      <c r="X27" s="48"/>
      <c r="Y27" s="48"/>
      <c r="Z27" s="48"/>
      <c r="AA27" s="48"/>
      <c r="AB27" s="48"/>
      <c r="AC27" s="48"/>
      <c r="AD27" s="48"/>
      <c r="AE27" s="48"/>
      <c r="AF27" s="48"/>
      <c r="AG27" s="48"/>
      <c r="AH27" s="48"/>
      <c r="AI27" s="48"/>
      <c r="AJ27" s="48"/>
      <c r="AK27" s="48"/>
      <c r="AL27" s="48"/>
      <c r="AM27" s="48"/>
      <c r="AN27" s="48"/>
      <c r="AO27" s="48"/>
    </row>
    <row r="28" customHeight="1" spans="1:41">
      <c r="A28" s="28" t="s">
        <v>128</v>
      </c>
      <c r="B28" s="28"/>
      <c r="C28" s="28"/>
      <c r="D28" s="28"/>
      <c r="E28" s="28"/>
      <c r="F28" s="28"/>
      <c r="G28" s="28"/>
      <c r="H28" s="28"/>
      <c r="I28" s="28"/>
      <c r="J28" s="28"/>
      <c r="K28" s="28"/>
      <c r="L28" s="27">
        <f>SUM(L4:L27)</f>
        <v>0</v>
      </c>
      <c r="M28" s="27">
        <f>SUM(M4:M27)</f>
        <v>0</v>
      </c>
      <c r="N28" s="28"/>
      <c r="O28" s="28"/>
      <c r="P28" s="27">
        <f t="shared" ref="P28:U28" si="9">SUM(P4:P27)</f>
        <v>0</v>
      </c>
      <c r="Q28" s="27">
        <f t="shared" si="9"/>
        <v>0</v>
      </c>
      <c r="R28" s="27">
        <f t="shared" si="9"/>
        <v>0</v>
      </c>
      <c r="S28" s="27">
        <f t="shared" si="9"/>
        <v>0</v>
      </c>
      <c r="T28" s="27">
        <f t="shared" si="9"/>
        <v>0</v>
      </c>
      <c r="U28" s="27">
        <f t="shared" si="9"/>
        <v>0</v>
      </c>
      <c r="V28" s="42"/>
      <c r="W28" s="42"/>
      <c r="X28" s="48"/>
      <c r="Y28" s="48"/>
      <c r="Z28" s="48"/>
      <c r="AA28" s="48"/>
      <c r="AB28" s="48"/>
      <c r="AC28" s="48"/>
      <c r="AD28" s="48"/>
      <c r="AE28" s="48"/>
      <c r="AF28" s="48"/>
      <c r="AG28" s="48"/>
      <c r="AH28" s="48"/>
      <c r="AI28" s="48"/>
      <c r="AJ28" s="48"/>
      <c r="AK28" s="48"/>
      <c r="AL28" s="48"/>
      <c r="AM28" s="48"/>
      <c r="AN28" s="48"/>
      <c r="AO28" s="48"/>
    </row>
  </sheetData>
  <autoFilter xmlns:etc="http://www.wps.cn/officeDocument/2017/etCustomData" ref="A3:AO28" etc:filterBottomFollowUsedRange="0">
    <extLst/>
  </autoFilter>
  <mergeCells count="23">
    <mergeCell ref="A1:AO1"/>
    <mergeCell ref="G2:K2"/>
    <mergeCell ref="L2:O2"/>
    <mergeCell ref="P2:AO2"/>
    <mergeCell ref="I3:K3"/>
    <mergeCell ref="A28:K28"/>
    <mergeCell ref="A2:A3"/>
    <mergeCell ref="A8:A9"/>
    <mergeCell ref="A12:A15"/>
    <mergeCell ref="A16:A18"/>
    <mergeCell ref="B2:B3"/>
    <mergeCell ref="B8:B9"/>
    <mergeCell ref="B12:B15"/>
    <mergeCell ref="B16:B18"/>
    <mergeCell ref="C2:C3"/>
    <mergeCell ref="C16:C18"/>
    <mergeCell ref="D2:D3"/>
    <mergeCell ref="D8:D9"/>
    <mergeCell ref="E2:E3"/>
    <mergeCell ref="E8:E9"/>
    <mergeCell ref="E12:E15"/>
    <mergeCell ref="E16:E18"/>
    <mergeCell ref="F2:F3"/>
  </mergeCells>
  <pageMargins left="0.75" right="0.75" top="1" bottom="1" header="0.5" footer="0.5"/>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45"/>
  <sheetViews>
    <sheetView tabSelected="1" zoomScale="85" zoomScaleNormal="85" workbookViewId="0">
      <pane xSplit="6" ySplit="4" topLeftCell="P5" activePane="bottomRight" state="frozen"/>
      <selection/>
      <selection pane="topRight"/>
      <selection pane="bottomLeft"/>
      <selection pane="bottomRight" activeCell="S8" sqref="S8"/>
    </sheetView>
  </sheetViews>
  <sheetFormatPr defaultColWidth="8.88888888888889" defaultRowHeight="14.4"/>
  <cols>
    <col min="3" max="3" width="15.0277777777778" customWidth="1"/>
    <col min="4" max="4" width="19.7777777777778" customWidth="1"/>
    <col min="5" max="5" width="11.8888888888889" customWidth="1"/>
    <col min="6" max="6" width="17.5555555555556" customWidth="1"/>
    <col min="7" max="7" width="13" customWidth="1"/>
    <col min="8" max="8" width="8.88888888888889" customWidth="1"/>
    <col min="9" max="9" width="13" customWidth="1"/>
    <col min="10" max="10" width="15.2222222222222" style="2" customWidth="1"/>
    <col min="11" max="11" width="16.4444444444444" style="2" customWidth="1"/>
    <col min="12" max="12" width="14.9166666666667" customWidth="1"/>
    <col min="13" max="13" width="13.4444444444444" customWidth="1"/>
    <col min="14" max="14" width="32.6944444444444" style="3" customWidth="1"/>
    <col min="15" max="15" width="17.7685185185185" style="3" customWidth="1"/>
    <col min="16" max="16" width="17.9166666666667" style="3" customWidth="1"/>
    <col min="17" max="17" width="8.87962962962963" style="3" customWidth="1"/>
    <col min="18" max="18" width="15.7037037037037" style="3" customWidth="1"/>
    <col min="19" max="24" width="20.7777777777778" style="2" customWidth="1"/>
    <col min="25" max="44" width="20.7777777777778" customWidth="1"/>
  </cols>
  <sheetData>
    <row r="1" ht="44" customHeight="1" spans="1:44">
      <c r="A1" s="4" t="s">
        <v>129</v>
      </c>
      <c r="B1" s="4"/>
      <c r="C1" s="4"/>
      <c r="D1" s="4"/>
      <c r="E1" s="4"/>
      <c r="F1" s="4"/>
      <c r="G1" s="4"/>
      <c r="H1" s="4"/>
      <c r="I1" s="4"/>
      <c r="J1" s="5"/>
      <c r="K1" s="5"/>
      <c r="L1" s="4"/>
      <c r="M1" s="4"/>
      <c r="N1" s="6"/>
      <c r="O1" s="6"/>
      <c r="P1" s="6"/>
      <c r="Q1" s="6"/>
      <c r="R1" s="6"/>
      <c r="S1" s="5"/>
      <c r="T1" s="5"/>
      <c r="U1" s="5"/>
      <c r="V1" s="5"/>
      <c r="W1" s="5"/>
      <c r="X1" s="5"/>
      <c r="Y1" s="4"/>
      <c r="Z1" s="4"/>
      <c r="AA1" s="4"/>
      <c r="AB1" s="4"/>
      <c r="AC1" s="4"/>
      <c r="AD1" s="4"/>
      <c r="AE1" s="4"/>
      <c r="AF1" s="4"/>
      <c r="AG1" s="4"/>
      <c r="AH1" s="4"/>
      <c r="AI1" s="4"/>
      <c r="AJ1" s="4"/>
      <c r="AK1" s="4"/>
      <c r="AL1" s="4"/>
      <c r="AM1" s="4"/>
      <c r="AN1" s="4"/>
      <c r="AO1" s="4"/>
      <c r="AP1" s="4"/>
      <c r="AQ1" s="4"/>
      <c r="AR1" s="4"/>
    </row>
    <row r="2" ht="29" customHeight="1" spans="1:44">
      <c r="A2" s="7" t="s">
        <v>130</v>
      </c>
      <c r="B2" s="3"/>
      <c r="C2" s="8"/>
      <c r="D2" s="8"/>
      <c r="E2" s="3"/>
      <c r="F2" s="9"/>
      <c r="G2" s="9"/>
      <c r="H2" s="9"/>
      <c r="I2" s="9"/>
      <c r="J2" s="10"/>
      <c r="K2" s="10"/>
      <c r="L2" s="11"/>
      <c r="M2" s="3"/>
      <c r="S2" s="12"/>
      <c r="T2" s="12"/>
      <c r="U2" s="12"/>
      <c r="V2" s="12"/>
      <c r="W2" s="12"/>
      <c r="X2" s="12"/>
      <c r="Y2" s="9"/>
      <c r="Z2" s="9"/>
      <c r="AA2" s="9"/>
      <c r="AB2" s="9"/>
      <c r="AC2" s="9"/>
      <c r="AD2" s="9"/>
      <c r="AE2" s="9"/>
      <c r="AF2" s="9"/>
      <c r="AG2" s="9"/>
      <c r="AH2" s="9"/>
      <c r="AI2" s="9"/>
      <c r="AJ2" s="9"/>
      <c r="AK2" s="9"/>
      <c r="AL2" s="9"/>
      <c r="AM2" s="9"/>
      <c r="AN2" s="9"/>
      <c r="AO2" s="9"/>
      <c r="AP2" s="9"/>
      <c r="AQ2" s="9"/>
      <c r="AR2" s="9"/>
    </row>
    <row r="3" ht="15.15" spans="1:44">
      <c r="A3" s="13" t="s">
        <v>1</v>
      </c>
      <c r="B3" s="14" t="s">
        <v>2</v>
      </c>
      <c r="C3" s="14" t="s">
        <v>3</v>
      </c>
      <c r="D3" s="15" t="s">
        <v>4</v>
      </c>
      <c r="E3" s="16" t="s">
        <v>5</v>
      </c>
      <c r="F3" s="17" t="s">
        <v>6</v>
      </c>
      <c r="G3" s="18" t="s">
        <v>131</v>
      </c>
      <c r="H3" s="19"/>
      <c r="I3" s="19"/>
      <c r="J3" s="20" t="s">
        <v>132</v>
      </c>
      <c r="K3" s="21"/>
      <c r="L3" s="22"/>
      <c r="M3" s="23"/>
      <c r="N3" s="24" t="s">
        <v>7</v>
      </c>
      <c r="O3" s="25"/>
      <c r="P3" s="25"/>
      <c r="Q3" s="25"/>
      <c r="R3" s="26"/>
      <c r="S3" s="27" t="s">
        <v>133</v>
      </c>
      <c r="T3" s="27"/>
      <c r="U3" s="27"/>
      <c r="V3" s="27"/>
      <c r="W3" s="27"/>
      <c r="X3" s="27"/>
      <c r="Y3" s="28"/>
      <c r="Z3" s="28"/>
      <c r="AA3" s="28"/>
      <c r="AB3" s="28"/>
      <c r="AC3" s="28"/>
      <c r="AD3" s="28"/>
      <c r="AE3" s="28"/>
      <c r="AF3" s="28"/>
      <c r="AG3" s="28"/>
      <c r="AH3" s="28"/>
      <c r="AI3" s="28"/>
      <c r="AJ3" s="28"/>
      <c r="AK3" s="28"/>
      <c r="AL3" s="28"/>
      <c r="AM3" s="28"/>
      <c r="AN3" s="28"/>
      <c r="AO3" s="28"/>
      <c r="AP3" s="28"/>
      <c r="AQ3" s="28"/>
      <c r="AR3" s="28"/>
    </row>
    <row r="4" ht="36" spans="1:44">
      <c r="A4" s="13"/>
      <c r="B4" s="14"/>
      <c r="C4" s="14"/>
      <c r="D4" s="15"/>
      <c r="E4" s="16"/>
      <c r="F4" s="17"/>
      <c r="G4" s="29" t="s">
        <v>134</v>
      </c>
      <c r="H4" s="30" t="s">
        <v>135</v>
      </c>
      <c r="I4" s="29" t="s">
        <v>136</v>
      </c>
      <c r="J4" s="31" t="s">
        <v>137</v>
      </c>
      <c r="K4" s="31" t="s">
        <v>138</v>
      </c>
      <c r="L4" s="32" t="s">
        <v>139</v>
      </c>
      <c r="M4" s="28" t="s">
        <v>140</v>
      </c>
      <c r="N4" s="33" t="s">
        <v>10</v>
      </c>
      <c r="O4" s="33" t="s">
        <v>11</v>
      </c>
      <c r="P4" s="24" t="s">
        <v>12</v>
      </c>
      <c r="Q4" s="25"/>
      <c r="R4" s="26"/>
      <c r="S4" s="34">
        <v>45962</v>
      </c>
      <c r="T4" s="34">
        <v>45992</v>
      </c>
      <c r="U4" s="34">
        <v>46023</v>
      </c>
      <c r="V4" s="34">
        <v>46054</v>
      </c>
      <c r="W4" s="34">
        <v>46082</v>
      </c>
      <c r="X4" s="34">
        <v>46113</v>
      </c>
      <c r="Y4" s="34">
        <v>46143</v>
      </c>
      <c r="Z4" s="34">
        <v>46174</v>
      </c>
      <c r="AA4" s="34">
        <v>46204</v>
      </c>
      <c r="AB4" s="34">
        <v>46235</v>
      </c>
      <c r="AC4" s="34">
        <v>46266</v>
      </c>
      <c r="AD4" s="34">
        <v>46296</v>
      </c>
      <c r="AE4" s="34">
        <v>46327</v>
      </c>
      <c r="AF4" s="34">
        <v>46357</v>
      </c>
      <c r="AG4" s="34">
        <v>46388</v>
      </c>
      <c r="AH4" s="34">
        <v>46419</v>
      </c>
      <c r="AI4" s="34">
        <v>46447</v>
      </c>
      <c r="AJ4" s="34">
        <v>46478</v>
      </c>
      <c r="AK4" s="34">
        <v>46508</v>
      </c>
      <c r="AL4" s="34">
        <v>46539</v>
      </c>
      <c r="AM4" s="34">
        <v>46569</v>
      </c>
      <c r="AN4" s="34">
        <v>46600</v>
      </c>
      <c r="AO4" s="34">
        <v>46631</v>
      </c>
      <c r="AP4" s="34">
        <v>46661</v>
      </c>
      <c r="AQ4" s="34">
        <v>46692</v>
      </c>
      <c r="AR4" s="34">
        <v>46722</v>
      </c>
    </row>
    <row r="5" ht="144" spans="1:44">
      <c r="A5" s="35">
        <v>8</v>
      </c>
      <c r="B5" s="36" t="s">
        <v>49</v>
      </c>
      <c r="C5" s="37" t="s">
        <v>50</v>
      </c>
      <c r="D5" s="38" t="s">
        <v>51</v>
      </c>
      <c r="E5" s="39">
        <v>45987</v>
      </c>
      <c r="F5" s="40"/>
      <c r="G5" s="41"/>
      <c r="H5" s="41"/>
      <c r="I5" s="41"/>
      <c r="J5" s="42"/>
      <c r="K5" s="42">
        <f t="shared" ref="K5:K27" si="0">F5-J5</f>
        <v>0</v>
      </c>
      <c r="L5" s="43" t="e">
        <f t="shared" ref="L5:L27" si="1">J5/(J5+K5)</f>
        <v>#DIV/0!</v>
      </c>
      <c r="M5" s="44" t="e">
        <f t="shared" ref="M5:M27" si="2">1-L5</f>
        <v>#DIV/0!</v>
      </c>
      <c r="O5" s="45" t="s">
        <v>52</v>
      </c>
      <c r="P5" s="45" t="s">
        <v>53</v>
      </c>
      <c r="Q5" s="46"/>
      <c r="R5" s="45" t="s">
        <v>54</v>
      </c>
      <c r="S5" s="42"/>
      <c r="T5" s="42"/>
      <c r="U5" s="42"/>
      <c r="V5" s="47"/>
      <c r="W5" s="42"/>
      <c r="X5" s="42"/>
      <c r="Y5" s="48"/>
      <c r="Z5" s="48"/>
      <c r="AA5" s="48"/>
      <c r="AB5" s="48"/>
      <c r="AC5" s="48"/>
      <c r="AD5" s="48"/>
      <c r="AE5" s="48"/>
      <c r="AF5" s="48"/>
      <c r="AG5" s="48"/>
      <c r="AH5" s="48"/>
      <c r="AI5" s="48"/>
      <c r="AJ5" s="48"/>
      <c r="AK5" s="48"/>
      <c r="AL5" s="48"/>
      <c r="AM5" s="48"/>
      <c r="AN5" s="48"/>
      <c r="AO5" s="48"/>
      <c r="AP5" s="48"/>
      <c r="AQ5" s="48"/>
      <c r="AR5" s="48"/>
    </row>
    <row r="6" ht="84" spans="1:44">
      <c r="A6" s="35"/>
      <c r="B6" s="36"/>
      <c r="C6" s="37" t="s">
        <v>57</v>
      </c>
      <c r="D6" s="38" t="s">
        <v>58</v>
      </c>
      <c r="E6" s="39"/>
      <c r="F6" s="40"/>
      <c r="G6" s="41"/>
      <c r="H6" s="41"/>
      <c r="I6" s="41"/>
      <c r="J6" s="42"/>
      <c r="K6" s="42">
        <f t="shared" si="0"/>
        <v>0</v>
      </c>
      <c r="L6" s="43" t="e">
        <f t="shared" si="1"/>
        <v>#DIV/0!</v>
      </c>
      <c r="M6" s="44" t="e">
        <f t="shared" si="2"/>
        <v>#DIV/0!</v>
      </c>
      <c r="N6" s="45" t="s">
        <v>59</v>
      </c>
      <c r="O6" s="45" t="s">
        <v>60</v>
      </c>
      <c r="P6" s="45" t="s">
        <v>61</v>
      </c>
      <c r="Q6" s="45" t="s">
        <v>62</v>
      </c>
      <c r="R6" s="45" t="s">
        <v>63</v>
      </c>
      <c r="T6" s="42"/>
      <c r="U6" s="42"/>
      <c r="V6" s="47"/>
      <c r="W6" s="42"/>
      <c r="X6" s="42"/>
      <c r="Y6" s="48"/>
      <c r="Z6" s="48"/>
      <c r="AA6" s="48"/>
      <c r="AB6" s="48"/>
      <c r="AC6" s="48"/>
      <c r="AD6" s="48"/>
      <c r="AE6" s="48"/>
      <c r="AF6" s="48"/>
      <c r="AG6" s="48"/>
      <c r="AH6" s="48"/>
      <c r="AI6" s="48"/>
      <c r="AJ6" s="48"/>
      <c r="AK6" s="48"/>
      <c r="AL6" s="48"/>
      <c r="AM6" s="48"/>
      <c r="AN6" s="48"/>
      <c r="AO6" s="48"/>
      <c r="AP6" s="48"/>
      <c r="AQ6" s="48"/>
      <c r="AR6" s="48"/>
    </row>
    <row r="7" ht="60" spans="1:44">
      <c r="A7" s="35"/>
      <c r="B7" s="36"/>
      <c r="C7" s="37" t="s">
        <v>33</v>
      </c>
      <c r="D7" s="49" t="s">
        <v>64</v>
      </c>
      <c r="E7" s="39"/>
      <c r="F7" s="40"/>
      <c r="G7" s="41"/>
      <c r="H7" s="41"/>
      <c r="I7" s="41"/>
      <c r="J7" s="42"/>
      <c r="K7" s="42">
        <f t="shared" si="0"/>
        <v>0</v>
      </c>
      <c r="L7" s="43" t="e">
        <f t="shared" si="1"/>
        <v>#DIV/0!</v>
      </c>
      <c r="M7" s="44" t="e">
        <f t="shared" si="2"/>
        <v>#DIV/0!</v>
      </c>
      <c r="N7" s="3" t="s">
        <v>65</v>
      </c>
      <c r="O7" s="45" t="s">
        <v>66</v>
      </c>
      <c r="P7" s="45" t="s">
        <v>67</v>
      </c>
      <c r="Q7" s="46"/>
      <c r="R7" s="46"/>
      <c r="S7" s="42"/>
      <c r="T7" s="42"/>
      <c r="U7" s="42"/>
      <c r="V7" s="47"/>
      <c r="W7" s="47"/>
      <c r="X7" s="42"/>
      <c r="Y7" s="48"/>
      <c r="Z7" s="48"/>
      <c r="AA7" s="48"/>
      <c r="AB7" s="48"/>
      <c r="AC7" s="48"/>
      <c r="AD7" s="48"/>
      <c r="AE7" s="48"/>
      <c r="AF7" s="48"/>
      <c r="AG7" s="48"/>
      <c r="AH7" s="48"/>
      <c r="AI7" s="48"/>
      <c r="AJ7" s="48"/>
      <c r="AK7" s="48"/>
      <c r="AL7" s="48"/>
      <c r="AM7" s="48"/>
      <c r="AN7" s="48"/>
      <c r="AO7" s="48"/>
      <c r="AP7" s="48"/>
      <c r="AQ7" s="48"/>
      <c r="AR7" s="48"/>
    </row>
    <row r="8" ht="108" spans="1:44">
      <c r="A8" s="50">
        <v>1</v>
      </c>
      <c r="B8" s="51" t="s">
        <v>17</v>
      </c>
      <c r="C8" s="52" t="s">
        <v>18</v>
      </c>
      <c r="D8" s="37" t="s">
        <v>19</v>
      </c>
      <c r="E8" s="53">
        <v>45523</v>
      </c>
      <c r="F8" s="41"/>
      <c r="G8" s="41"/>
      <c r="H8" s="41"/>
      <c r="I8" s="41"/>
      <c r="J8" s="42"/>
      <c r="K8" s="42">
        <f t="shared" si="0"/>
        <v>0</v>
      </c>
      <c r="L8" s="43" t="e">
        <f t="shared" si="1"/>
        <v>#DIV/0!</v>
      </c>
      <c r="M8" s="44" t="e">
        <f t="shared" si="2"/>
        <v>#DIV/0!</v>
      </c>
      <c r="N8" s="54" t="s">
        <v>20</v>
      </c>
      <c r="O8" s="48" t="s">
        <v>21</v>
      </c>
      <c r="P8" s="48" t="s">
        <v>21</v>
      </c>
      <c r="Q8" s="48" t="s">
        <v>21</v>
      </c>
      <c r="R8" s="48" t="s">
        <v>21</v>
      </c>
      <c r="S8" s="42"/>
      <c r="T8" s="42"/>
      <c r="U8" s="42"/>
      <c r="V8" s="47"/>
      <c r="W8" s="47"/>
      <c r="X8" s="42"/>
      <c r="Y8" s="48"/>
      <c r="Z8" s="48"/>
      <c r="AA8" s="48"/>
      <c r="AB8" s="48"/>
      <c r="AC8" s="48"/>
      <c r="AD8" s="48"/>
      <c r="AE8" s="48"/>
      <c r="AF8" s="48"/>
      <c r="AG8" s="48"/>
      <c r="AH8" s="48"/>
      <c r="AI8" s="48"/>
      <c r="AJ8" s="48"/>
      <c r="AK8" s="48"/>
      <c r="AL8" s="48"/>
      <c r="AM8" s="48"/>
      <c r="AN8" s="48"/>
      <c r="AO8" s="48"/>
      <c r="AP8" s="48"/>
      <c r="AQ8" s="48"/>
      <c r="AR8" s="48"/>
    </row>
    <row r="9" ht="108" spans="1:44">
      <c r="A9" s="50">
        <v>2</v>
      </c>
      <c r="B9" s="51" t="s">
        <v>22</v>
      </c>
      <c r="C9" s="52" t="s">
        <v>23</v>
      </c>
      <c r="D9" s="37" t="s">
        <v>19</v>
      </c>
      <c r="E9" s="53">
        <v>45523</v>
      </c>
      <c r="F9" s="41"/>
      <c r="G9" s="41"/>
      <c r="H9" s="41"/>
      <c r="I9" s="41"/>
      <c r="J9" s="42"/>
      <c r="K9" s="42">
        <f t="shared" si="0"/>
        <v>0</v>
      </c>
      <c r="L9" s="43" t="e">
        <f t="shared" si="1"/>
        <v>#DIV/0!</v>
      </c>
      <c r="M9" s="44" t="e">
        <f t="shared" si="2"/>
        <v>#DIV/0!</v>
      </c>
      <c r="N9" s="45" t="s">
        <v>24</v>
      </c>
      <c r="O9" s="46"/>
      <c r="P9" s="46"/>
      <c r="Q9" s="46"/>
      <c r="R9" s="46"/>
      <c r="S9" s="42"/>
      <c r="T9" s="42"/>
      <c r="U9" s="42"/>
      <c r="V9" s="47"/>
      <c r="W9" s="47"/>
      <c r="X9" s="42"/>
      <c r="Y9" s="48"/>
      <c r="Z9" s="48"/>
      <c r="AA9" s="48"/>
      <c r="AB9" s="48"/>
      <c r="AC9" s="48"/>
      <c r="AD9" s="48"/>
      <c r="AE9" s="48"/>
      <c r="AF9" s="48"/>
      <c r="AG9" s="48"/>
      <c r="AH9" s="48"/>
      <c r="AI9" s="48"/>
      <c r="AJ9" s="48"/>
      <c r="AK9" s="48"/>
      <c r="AL9" s="48"/>
      <c r="AM9" s="48"/>
      <c r="AN9" s="48"/>
      <c r="AO9" s="48"/>
      <c r="AP9" s="48"/>
      <c r="AQ9" s="48"/>
      <c r="AR9" s="48"/>
    </row>
    <row r="10" ht="46" customHeight="1" spans="1:44">
      <c r="A10" s="50">
        <v>3</v>
      </c>
      <c r="B10" s="51" t="s">
        <v>25</v>
      </c>
      <c r="C10" s="52" t="s">
        <v>26</v>
      </c>
      <c r="D10" s="55" t="s">
        <v>27</v>
      </c>
      <c r="E10" s="56">
        <v>45791</v>
      </c>
      <c r="F10" s="41"/>
      <c r="G10" s="41"/>
      <c r="H10" s="41"/>
      <c r="I10" s="41"/>
      <c r="J10" s="42"/>
      <c r="K10" s="42">
        <f t="shared" si="0"/>
        <v>0</v>
      </c>
      <c r="L10" s="43" t="e">
        <f t="shared" si="1"/>
        <v>#DIV/0!</v>
      </c>
      <c r="M10" s="44" t="e">
        <f t="shared" si="2"/>
        <v>#DIV/0!</v>
      </c>
      <c r="N10" s="46" t="s">
        <v>28</v>
      </c>
      <c r="O10" s="46"/>
      <c r="P10" s="46"/>
      <c r="Q10" s="46"/>
      <c r="R10" s="46"/>
      <c r="S10" s="42"/>
      <c r="T10" s="42"/>
      <c r="U10" s="42"/>
      <c r="V10" s="47"/>
      <c r="W10" s="47"/>
      <c r="X10" s="42"/>
      <c r="Y10" s="48"/>
      <c r="Z10" s="48"/>
      <c r="AA10" s="48"/>
      <c r="AB10" s="48"/>
      <c r="AC10" s="48"/>
      <c r="AD10" s="48"/>
      <c r="AE10" s="48"/>
      <c r="AF10" s="48"/>
      <c r="AG10" s="48"/>
      <c r="AH10" s="48"/>
      <c r="AI10" s="48"/>
      <c r="AJ10" s="48"/>
      <c r="AK10" s="48"/>
      <c r="AL10" s="48"/>
      <c r="AM10" s="48"/>
      <c r="AN10" s="48"/>
      <c r="AO10" s="48"/>
      <c r="AP10" s="48"/>
      <c r="AQ10" s="48"/>
      <c r="AR10" s="48"/>
    </row>
    <row r="11" ht="53" customHeight="1" spans="1:44">
      <c r="A11" s="50">
        <v>4</v>
      </c>
      <c r="B11" s="51" t="s">
        <v>29</v>
      </c>
      <c r="C11" s="52" t="s">
        <v>30</v>
      </c>
      <c r="D11" s="57" t="s">
        <v>31</v>
      </c>
      <c r="E11" s="58">
        <v>45873</v>
      </c>
      <c r="F11" s="41"/>
      <c r="G11" s="41"/>
      <c r="H11" s="41"/>
      <c r="I11" s="41"/>
      <c r="J11" s="42"/>
      <c r="K11" s="42">
        <f t="shared" si="0"/>
        <v>0</v>
      </c>
      <c r="L11" s="43" t="e">
        <f t="shared" si="1"/>
        <v>#DIV/0!</v>
      </c>
      <c r="M11" s="44" t="e">
        <f t="shared" si="2"/>
        <v>#DIV/0!</v>
      </c>
      <c r="N11" s="46" t="s">
        <v>28</v>
      </c>
      <c r="O11" s="46"/>
      <c r="P11" s="46"/>
      <c r="Q11" s="46"/>
      <c r="R11" s="46"/>
      <c r="S11" s="42"/>
      <c r="T11" s="42"/>
      <c r="U11" s="42"/>
      <c r="V11" s="47"/>
      <c r="W11" s="47"/>
      <c r="X11" s="42"/>
      <c r="Y11" s="48"/>
      <c r="Z11" s="48"/>
      <c r="AA11" s="48"/>
      <c r="AB11" s="48"/>
      <c r="AC11" s="48"/>
      <c r="AD11" s="48"/>
      <c r="AE11" s="48"/>
      <c r="AF11" s="48"/>
      <c r="AG11" s="48"/>
      <c r="AH11" s="48"/>
      <c r="AI11" s="48"/>
      <c r="AJ11" s="48"/>
      <c r="AK11" s="48"/>
      <c r="AL11" s="48"/>
      <c r="AM11" s="48"/>
      <c r="AN11" s="48"/>
      <c r="AO11" s="48"/>
      <c r="AP11" s="48"/>
      <c r="AQ11" s="48"/>
      <c r="AR11" s="48"/>
    </row>
    <row r="12" ht="72" spans="1:44">
      <c r="A12" s="35">
        <v>5</v>
      </c>
      <c r="B12" s="35" t="s">
        <v>32</v>
      </c>
      <c r="C12" s="37" t="s">
        <v>33</v>
      </c>
      <c r="D12" s="59" t="s">
        <v>34</v>
      </c>
      <c r="E12" s="60">
        <v>45880</v>
      </c>
      <c r="F12" s="41"/>
      <c r="G12" s="41"/>
      <c r="H12" s="41"/>
      <c r="I12" s="41"/>
      <c r="J12" s="42"/>
      <c r="K12" s="42">
        <f t="shared" si="0"/>
        <v>0</v>
      </c>
      <c r="L12" s="43" t="e">
        <f t="shared" si="1"/>
        <v>#DIV/0!</v>
      </c>
      <c r="M12" s="44" t="e">
        <f t="shared" si="2"/>
        <v>#DIV/0!</v>
      </c>
      <c r="N12" s="45" t="s">
        <v>35</v>
      </c>
      <c r="O12" s="45" t="s">
        <v>36</v>
      </c>
      <c r="P12" s="45" t="s">
        <v>37</v>
      </c>
      <c r="Q12" s="46"/>
      <c r="R12" s="45" t="s">
        <v>38</v>
      </c>
      <c r="S12" s="27"/>
      <c r="T12" s="42"/>
      <c r="U12" s="42"/>
      <c r="V12" s="47"/>
      <c r="W12" s="47"/>
      <c r="X12" s="42"/>
      <c r="Y12" s="48"/>
      <c r="Z12" s="48"/>
      <c r="AA12" s="48"/>
      <c r="AB12" s="48"/>
      <c r="AC12" s="48"/>
      <c r="AD12" s="48"/>
      <c r="AE12" s="48"/>
      <c r="AF12" s="48"/>
      <c r="AG12" s="48"/>
      <c r="AH12" s="48"/>
      <c r="AI12" s="48"/>
      <c r="AJ12" s="48"/>
      <c r="AK12" s="48"/>
      <c r="AL12" s="48"/>
      <c r="AM12" s="48"/>
      <c r="AN12" s="48"/>
      <c r="AO12" s="48"/>
      <c r="AP12" s="48"/>
      <c r="AQ12" s="48"/>
      <c r="AR12" s="48"/>
    </row>
    <row r="13" ht="168" spans="1:44">
      <c r="A13" s="35"/>
      <c r="B13" s="35"/>
      <c r="C13" s="37" t="s">
        <v>39</v>
      </c>
      <c r="D13" s="59"/>
      <c r="E13" s="60"/>
      <c r="F13" s="41"/>
      <c r="G13" s="41"/>
      <c r="H13" s="41"/>
      <c r="I13" s="41"/>
      <c r="J13" s="42"/>
      <c r="K13" s="42">
        <f t="shared" si="0"/>
        <v>0</v>
      </c>
      <c r="L13" s="43" t="e">
        <f t="shared" si="1"/>
        <v>#DIV/0!</v>
      </c>
      <c r="M13" s="44" t="e">
        <f t="shared" si="2"/>
        <v>#DIV/0!</v>
      </c>
      <c r="N13" s="45" t="s">
        <v>40</v>
      </c>
      <c r="O13" s="45" t="s">
        <v>141</v>
      </c>
      <c r="P13" s="45"/>
      <c r="Q13" s="46"/>
      <c r="R13" s="45" t="s">
        <v>142</v>
      </c>
      <c r="S13" s="42"/>
      <c r="T13" s="42"/>
      <c r="U13" s="42"/>
      <c r="V13" s="47"/>
      <c r="W13" s="47"/>
      <c r="X13" s="42"/>
      <c r="Y13" s="48"/>
      <c r="Z13" s="48"/>
      <c r="AA13" s="48"/>
      <c r="AB13" s="48"/>
      <c r="AC13" s="48"/>
      <c r="AD13" s="48"/>
      <c r="AE13" s="48"/>
      <c r="AF13" s="48"/>
      <c r="AG13" s="48"/>
      <c r="AH13" s="48"/>
      <c r="AI13" s="48"/>
      <c r="AJ13" s="48"/>
      <c r="AK13" s="48"/>
      <c r="AL13" s="48"/>
      <c r="AM13" s="48"/>
      <c r="AN13" s="48"/>
      <c r="AO13" s="48"/>
      <c r="AP13" s="48"/>
      <c r="AQ13" s="48"/>
      <c r="AR13" s="48"/>
    </row>
    <row r="14" ht="47" customHeight="1" spans="1:44">
      <c r="A14" s="50">
        <v>6</v>
      </c>
      <c r="B14" s="51" t="s">
        <v>41</v>
      </c>
      <c r="C14" s="37" t="s">
        <v>42</v>
      </c>
      <c r="D14" s="37" t="s">
        <v>43</v>
      </c>
      <c r="E14" s="53">
        <v>45887</v>
      </c>
      <c r="F14" s="61"/>
      <c r="G14" s="41"/>
      <c r="H14" s="41"/>
      <c r="I14" s="41"/>
      <c r="J14" s="42"/>
      <c r="K14" s="42">
        <f t="shared" si="0"/>
        <v>0</v>
      </c>
      <c r="L14" s="43" t="e">
        <f t="shared" si="1"/>
        <v>#DIV/0!</v>
      </c>
      <c r="M14" s="44" t="e">
        <f t="shared" si="2"/>
        <v>#DIV/0!</v>
      </c>
      <c r="N14" s="45" t="s">
        <v>44</v>
      </c>
      <c r="O14" s="46"/>
      <c r="P14" s="45"/>
      <c r="Q14" s="46"/>
      <c r="R14" s="45"/>
      <c r="S14" s="42"/>
      <c r="T14" s="42"/>
      <c r="U14" s="42"/>
      <c r="V14" s="47"/>
      <c r="W14" s="42"/>
      <c r="X14" s="42"/>
      <c r="Y14" s="48"/>
      <c r="Z14" s="48"/>
      <c r="AA14" s="48"/>
      <c r="AB14" s="48"/>
      <c r="AC14" s="48"/>
      <c r="AD14" s="48"/>
      <c r="AE14" s="48"/>
      <c r="AF14" s="48"/>
      <c r="AG14" s="48"/>
      <c r="AH14" s="48"/>
      <c r="AI14" s="48"/>
      <c r="AJ14" s="48"/>
      <c r="AK14" s="48"/>
      <c r="AL14" s="48"/>
      <c r="AM14" s="48"/>
      <c r="AN14" s="48"/>
      <c r="AO14" s="48"/>
      <c r="AP14" s="48"/>
      <c r="AQ14" s="48"/>
      <c r="AR14" s="48"/>
    </row>
    <row r="15" ht="60" spans="1:44">
      <c r="A15" s="50">
        <v>7</v>
      </c>
      <c r="B15" s="51" t="s">
        <v>45</v>
      </c>
      <c r="C15" s="37" t="s">
        <v>46</v>
      </c>
      <c r="D15" s="37" t="s">
        <v>47</v>
      </c>
      <c r="E15" s="53">
        <v>45981</v>
      </c>
      <c r="F15" s="40"/>
      <c r="G15" s="41"/>
      <c r="H15" s="41"/>
      <c r="I15" s="41"/>
      <c r="J15" s="42"/>
      <c r="K15" s="42">
        <f t="shared" si="0"/>
        <v>0</v>
      </c>
      <c r="L15" s="43" t="e">
        <f t="shared" si="1"/>
        <v>#DIV/0!</v>
      </c>
      <c r="M15" s="44" t="e">
        <f t="shared" si="2"/>
        <v>#DIV/0!</v>
      </c>
      <c r="N15" s="45" t="s">
        <v>48</v>
      </c>
      <c r="O15" s="46"/>
      <c r="P15" s="46"/>
      <c r="Q15" s="46"/>
      <c r="R15" s="46"/>
      <c r="S15" s="42"/>
      <c r="T15" s="42"/>
      <c r="U15" s="42"/>
      <c r="V15" s="47"/>
      <c r="W15" s="42"/>
      <c r="X15" s="42"/>
      <c r="Y15" s="48"/>
      <c r="Z15" s="48"/>
      <c r="AA15" s="48"/>
      <c r="AB15" s="48"/>
      <c r="AC15" s="48"/>
      <c r="AD15" s="48"/>
      <c r="AE15" s="48"/>
      <c r="AF15" s="48"/>
      <c r="AG15" s="48"/>
      <c r="AH15" s="48"/>
      <c r="AI15" s="48"/>
      <c r="AJ15" s="48"/>
      <c r="AK15" s="48"/>
      <c r="AL15" s="48"/>
      <c r="AM15" s="48"/>
      <c r="AN15" s="48"/>
      <c r="AO15" s="48"/>
      <c r="AP15" s="48"/>
      <c r="AQ15" s="48"/>
      <c r="AR15" s="48"/>
    </row>
    <row r="16" ht="144" spans="1:44">
      <c r="A16" s="35">
        <v>9</v>
      </c>
      <c r="B16" s="35" t="s">
        <v>68</v>
      </c>
      <c r="C16" s="62" t="s">
        <v>69</v>
      </c>
      <c r="D16" s="37" t="s">
        <v>70</v>
      </c>
      <c r="E16" s="39">
        <v>45988</v>
      </c>
      <c r="F16" s="40"/>
      <c r="G16" s="41"/>
      <c r="H16" s="41"/>
      <c r="I16" s="41"/>
      <c r="J16" s="42"/>
      <c r="K16" s="42">
        <f t="shared" si="0"/>
        <v>0</v>
      </c>
      <c r="L16" s="43" t="e">
        <f t="shared" si="1"/>
        <v>#DIV/0!</v>
      </c>
      <c r="M16" s="44" t="e">
        <f t="shared" si="2"/>
        <v>#DIV/0!</v>
      </c>
      <c r="N16" s="46" t="s">
        <v>71</v>
      </c>
      <c r="O16" s="45" t="s">
        <v>72</v>
      </c>
      <c r="P16" s="45" t="s">
        <v>73</v>
      </c>
      <c r="Q16" s="45" t="s">
        <v>74</v>
      </c>
      <c r="R16" s="45" t="s">
        <v>75</v>
      </c>
      <c r="S16" s="42"/>
      <c r="T16" s="42"/>
      <c r="U16" s="42"/>
      <c r="V16" s="47"/>
      <c r="W16" s="47"/>
      <c r="X16" s="42"/>
      <c r="Y16" s="48"/>
      <c r="Z16" s="48"/>
      <c r="AA16" s="48"/>
      <c r="AB16" s="48"/>
      <c r="AC16" s="48"/>
      <c r="AD16" s="48"/>
      <c r="AE16" s="48"/>
      <c r="AF16" s="48"/>
      <c r="AG16" s="48"/>
      <c r="AH16" s="48"/>
      <c r="AI16" s="48"/>
      <c r="AJ16" s="48"/>
      <c r="AK16" s="48"/>
      <c r="AL16" s="48"/>
      <c r="AM16" s="48"/>
      <c r="AN16" s="48"/>
      <c r="AO16" s="48"/>
      <c r="AP16" s="48"/>
      <c r="AQ16" s="48"/>
      <c r="AR16" s="48"/>
    </row>
    <row r="17" ht="72" spans="1:44">
      <c r="A17" s="35"/>
      <c r="B17" s="35"/>
      <c r="C17" s="62"/>
      <c r="D17" s="37" t="s">
        <v>76</v>
      </c>
      <c r="E17" s="39"/>
      <c r="F17" s="40"/>
      <c r="G17" s="41"/>
      <c r="H17" s="41"/>
      <c r="I17" s="41"/>
      <c r="J17" s="42"/>
      <c r="K17" s="42">
        <f t="shared" si="0"/>
        <v>0</v>
      </c>
      <c r="L17" s="43" t="e">
        <f t="shared" si="1"/>
        <v>#DIV/0!</v>
      </c>
      <c r="M17" s="44" t="e">
        <f t="shared" si="2"/>
        <v>#DIV/0!</v>
      </c>
      <c r="N17" s="45" t="s">
        <v>77</v>
      </c>
      <c r="O17" s="45" t="s">
        <v>78</v>
      </c>
      <c r="P17" s="45" t="s">
        <v>79</v>
      </c>
      <c r="Q17" s="46"/>
      <c r="R17" s="45" t="s">
        <v>80</v>
      </c>
      <c r="S17" s="42"/>
      <c r="T17" s="42"/>
      <c r="U17" s="42"/>
      <c r="V17" s="47"/>
      <c r="W17" s="47"/>
      <c r="X17" s="42"/>
      <c r="Y17" s="48"/>
      <c r="Z17" s="48"/>
      <c r="AA17" s="48"/>
      <c r="AB17" s="48"/>
      <c r="AC17" s="48"/>
      <c r="AD17" s="48"/>
      <c r="AE17" s="48"/>
      <c r="AF17" s="48"/>
      <c r="AG17" s="48"/>
      <c r="AH17" s="48"/>
      <c r="AI17" s="48"/>
      <c r="AJ17" s="48"/>
      <c r="AK17" s="48"/>
      <c r="AL17" s="48"/>
      <c r="AM17" s="48"/>
      <c r="AN17" s="48"/>
      <c r="AO17" s="48"/>
      <c r="AP17" s="48"/>
      <c r="AQ17" s="48"/>
      <c r="AR17" s="48"/>
    </row>
    <row r="18" ht="48" spans="1:44">
      <c r="A18" s="35"/>
      <c r="B18" s="35"/>
      <c r="C18" s="62"/>
      <c r="D18" s="37" t="s">
        <v>81</v>
      </c>
      <c r="E18" s="39"/>
      <c r="F18" s="40"/>
      <c r="G18" s="41"/>
      <c r="H18" s="41"/>
      <c r="I18" s="41"/>
      <c r="J18" s="42"/>
      <c r="K18" s="42">
        <f t="shared" si="0"/>
        <v>0</v>
      </c>
      <c r="L18" s="43" t="e">
        <f t="shared" si="1"/>
        <v>#DIV/0!</v>
      </c>
      <c r="M18" s="44" t="e">
        <f t="shared" si="2"/>
        <v>#DIV/0!</v>
      </c>
      <c r="N18" s="45" t="s">
        <v>82</v>
      </c>
      <c r="O18" s="45" t="s">
        <v>83</v>
      </c>
      <c r="P18" s="46"/>
      <c r="Q18" s="46"/>
      <c r="R18" s="45" t="s">
        <v>84</v>
      </c>
      <c r="S18" s="42"/>
      <c r="T18" s="42"/>
      <c r="U18" s="42"/>
      <c r="V18" s="47"/>
      <c r="W18" s="47"/>
      <c r="X18" s="42"/>
      <c r="Y18" s="48"/>
      <c r="Z18" s="48"/>
      <c r="AA18" s="48"/>
      <c r="AB18" s="48"/>
      <c r="AC18" s="48"/>
      <c r="AD18" s="48"/>
      <c r="AE18" s="48"/>
      <c r="AF18" s="48"/>
      <c r="AG18" s="48"/>
      <c r="AH18" s="48"/>
      <c r="AI18" s="48"/>
      <c r="AJ18" s="48"/>
      <c r="AK18" s="48"/>
      <c r="AL18" s="48"/>
      <c r="AM18" s="48"/>
      <c r="AN18" s="48"/>
      <c r="AO18" s="48"/>
      <c r="AP18" s="48"/>
      <c r="AQ18" s="48"/>
      <c r="AR18" s="48"/>
    </row>
    <row r="19" ht="72" spans="1:44">
      <c r="A19" s="50">
        <v>10</v>
      </c>
      <c r="B19" s="51" t="s">
        <v>85</v>
      </c>
      <c r="C19" s="37" t="s">
        <v>86</v>
      </c>
      <c r="D19" s="37" t="s">
        <v>87</v>
      </c>
      <c r="E19" s="53">
        <v>46008</v>
      </c>
      <c r="F19" s="40"/>
      <c r="G19" s="41"/>
      <c r="H19" s="41"/>
      <c r="I19" s="41"/>
      <c r="J19" s="42"/>
      <c r="K19" s="42">
        <f t="shared" si="0"/>
        <v>0</v>
      </c>
      <c r="L19" s="43" t="e">
        <f t="shared" si="1"/>
        <v>#DIV/0!</v>
      </c>
      <c r="M19" s="44" t="e">
        <f t="shared" si="2"/>
        <v>#DIV/0!</v>
      </c>
      <c r="N19" s="46" t="s">
        <v>88</v>
      </c>
      <c r="O19" s="45" t="s">
        <v>89</v>
      </c>
      <c r="P19" s="45" t="s">
        <v>90</v>
      </c>
      <c r="Q19" s="46"/>
      <c r="R19" s="45" t="s">
        <v>91</v>
      </c>
      <c r="S19" s="42"/>
      <c r="T19" s="42"/>
      <c r="U19" s="42"/>
      <c r="V19" s="47"/>
      <c r="W19" s="47"/>
      <c r="X19" s="42"/>
      <c r="Y19" s="48"/>
      <c r="Z19" s="48"/>
      <c r="AA19" s="48"/>
      <c r="AB19" s="48"/>
      <c r="AC19" s="48"/>
      <c r="AD19" s="48"/>
      <c r="AE19" s="48"/>
      <c r="AF19" s="48"/>
      <c r="AG19" s="48"/>
      <c r="AH19" s="48"/>
      <c r="AI19" s="48"/>
      <c r="AJ19" s="48"/>
      <c r="AK19" s="48"/>
      <c r="AL19" s="48"/>
      <c r="AM19" s="48"/>
      <c r="AN19" s="48"/>
      <c r="AO19" s="48"/>
      <c r="AP19" s="48"/>
      <c r="AQ19" s="48"/>
      <c r="AR19" s="48"/>
    </row>
    <row r="20" ht="120" spans="1:44">
      <c r="A20" s="50">
        <v>11</v>
      </c>
      <c r="B20" s="51" t="s">
        <v>92</v>
      </c>
      <c r="C20" s="37" t="s">
        <v>86</v>
      </c>
      <c r="D20" s="37" t="s">
        <v>93</v>
      </c>
      <c r="E20" s="53">
        <v>46036</v>
      </c>
      <c r="F20" s="40"/>
      <c r="G20" s="41"/>
      <c r="H20" s="41"/>
      <c r="I20" s="41"/>
      <c r="J20" s="42"/>
      <c r="K20" s="42">
        <f t="shared" si="0"/>
        <v>0</v>
      </c>
      <c r="L20" s="43" t="e">
        <f t="shared" si="1"/>
        <v>#DIV/0!</v>
      </c>
      <c r="M20" s="44" t="e">
        <f t="shared" si="2"/>
        <v>#DIV/0!</v>
      </c>
      <c r="N20" s="45" t="s">
        <v>94</v>
      </c>
      <c r="O20" s="63" t="s">
        <v>95</v>
      </c>
      <c r="P20" s="64"/>
      <c r="Q20" s="64"/>
      <c r="R20" s="63" t="s">
        <v>96</v>
      </c>
      <c r="S20" s="65"/>
      <c r="T20" s="65"/>
      <c r="U20" s="65"/>
      <c r="V20" s="47"/>
      <c r="W20" s="42"/>
      <c r="X20" s="42"/>
      <c r="Y20" s="48"/>
      <c r="Z20" s="48"/>
      <c r="AA20" s="48"/>
      <c r="AB20" s="48"/>
      <c r="AC20" s="48"/>
      <c r="AD20" s="48"/>
      <c r="AE20" s="48"/>
      <c r="AF20" s="48"/>
      <c r="AG20" s="48"/>
      <c r="AH20" s="48"/>
      <c r="AI20" s="48"/>
      <c r="AJ20" s="48"/>
      <c r="AK20" s="48"/>
      <c r="AL20" s="48"/>
      <c r="AM20" s="48"/>
      <c r="AN20" s="48"/>
      <c r="AO20" s="48"/>
      <c r="AP20" s="48"/>
      <c r="AQ20" s="48"/>
      <c r="AR20" s="48"/>
    </row>
    <row r="21" ht="288" spans="1:44">
      <c r="A21" s="50">
        <v>12</v>
      </c>
      <c r="B21" s="51" t="s">
        <v>97</v>
      </c>
      <c r="C21" s="37" t="s">
        <v>98</v>
      </c>
      <c r="D21" s="66" t="s">
        <v>99</v>
      </c>
      <c r="E21" s="53">
        <v>46036</v>
      </c>
      <c r="F21" s="40"/>
      <c r="G21" s="41"/>
      <c r="H21" s="41"/>
      <c r="I21" s="41"/>
      <c r="J21" s="42"/>
      <c r="K21" s="42">
        <f t="shared" si="0"/>
        <v>0</v>
      </c>
      <c r="L21" s="43" t="e">
        <f t="shared" si="1"/>
        <v>#DIV/0!</v>
      </c>
      <c r="M21" s="44" t="e">
        <f t="shared" si="2"/>
        <v>#DIV/0!</v>
      </c>
      <c r="N21" s="45" t="s">
        <v>88</v>
      </c>
      <c r="P21" s="45" t="s">
        <v>100</v>
      </c>
      <c r="Q21" s="46"/>
      <c r="R21" s="46"/>
      <c r="S21" s="42"/>
      <c r="T21" s="42"/>
      <c r="U21" s="42"/>
      <c r="V21" s="47"/>
      <c r="W21" s="42"/>
      <c r="X21" s="42"/>
      <c r="Y21" s="42"/>
      <c r="Z21" s="42"/>
      <c r="AA21" s="42"/>
      <c r="AB21" s="42"/>
      <c r="AC21" s="42"/>
      <c r="AD21" s="42"/>
      <c r="AE21" s="42"/>
      <c r="AF21" s="42"/>
      <c r="AG21" s="42"/>
      <c r="AH21" s="42"/>
      <c r="AI21" s="42"/>
      <c r="AJ21" s="42"/>
      <c r="AK21" s="42"/>
      <c r="AL21" s="42"/>
      <c r="AM21" s="42"/>
      <c r="AN21" s="42"/>
      <c r="AO21" s="42"/>
      <c r="AP21" s="42"/>
      <c r="AQ21" s="42"/>
      <c r="AR21" s="42"/>
    </row>
    <row r="22" ht="60" spans="1:44">
      <c r="A22" s="50">
        <v>13</v>
      </c>
      <c r="B22" s="51" t="s">
        <v>101</v>
      </c>
      <c r="C22" s="37" t="s">
        <v>55</v>
      </c>
      <c r="D22" s="37" t="s">
        <v>56</v>
      </c>
      <c r="E22" s="53">
        <v>46043</v>
      </c>
      <c r="F22" s="40"/>
      <c r="G22" s="41"/>
      <c r="H22" s="41"/>
      <c r="I22" s="41"/>
      <c r="J22" s="42"/>
      <c r="K22" s="42">
        <f t="shared" si="0"/>
        <v>0</v>
      </c>
      <c r="L22" s="43" t="e">
        <f t="shared" si="1"/>
        <v>#DIV/0!</v>
      </c>
      <c r="M22" s="44" t="e">
        <f t="shared" si="2"/>
        <v>#DIV/0!</v>
      </c>
      <c r="N22" s="46"/>
      <c r="O22" s="46"/>
      <c r="P22" s="46"/>
      <c r="Q22" s="46"/>
      <c r="R22" s="46"/>
      <c r="S22" s="42"/>
      <c r="T22" s="42"/>
      <c r="U22" s="42"/>
      <c r="V22" s="47"/>
      <c r="W22" s="42"/>
      <c r="X22" s="42"/>
      <c r="Y22" s="42"/>
      <c r="Z22" s="42"/>
      <c r="AA22" s="42"/>
      <c r="AB22" s="42"/>
      <c r="AC22" s="42"/>
      <c r="AD22" s="42"/>
      <c r="AE22" s="42"/>
      <c r="AF22" s="42"/>
      <c r="AG22" s="42"/>
      <c r="AH22" s="42"/>
      <c r="AI22" s="42"/>
      <c r="AJ22" s="42"/>
      <c r="AK22" s="42"/>
      <c r="AL22" s="42"/>
      <c r="AM22" s="42"/>
      <c r="AN22" s="42"/>
      <c r="AO22" s="42"/>
      <c r="AP22" s="42"/>
      <c r="AQ22" s="42"/>
      <c r="AR22" s="42"/>
    </row>
    <row r="23" ht="84" spans="1:44">
      <c r="A23" s="50">
        <v>14</v>
      </c>
      <c r="B23" s="51" t="s">
        <v>102</v>
      </c>
      <c r="C23" s="37" t="s">
        <v>103</v>
      </c>
      <c r="D23" s="66" t="s">
        <v>104</v>
      </c>
      <c r="E23" s="53">
        <v>46049</v>
      </c>
      <c r="F23" s="40"/>
      <c r="G23" s="41"/>
      <c r="H23" s="41"/>
      <c r="I23" s="41"/>
      <c r="J23" s="42"/>
      <c r="K23" s="42">
        <f t="shared" si="0"/>
        <v>0</v>
      </c>
      <c r="L23" s="43" t="e">
        <f t="shared" si="1"/>
        <v>#DIV/0!</v>
      </c>
      <c r="M23" s="44" t="e">
        <f t="shared" si="2"/>
        <v>#DIV/0!</v>
      </c>
      <c r="N23" s="45" t="s">
        <v>105</v>
      </c>
      <c r="O23" s="46"/>
      <c r="P23" s="46"/>
      <c r="Q23" s="46"/>
      <c r="R23" s="46"/>
      <c r="S23" s="42"/>
      <c r="T23" s="42"/>
      <c r="U23" s="42"/>
      <c r="V23" s="47"/>
      <c r="W23" s="42"/>
      <c r="X23" s="42"/>
      <c r="Y23" s="42"/>
      <c r="Z23" s="42"/>
      <c r="AA23" s="42"/>
      <c r="AB23" s="42"/>
      <c r="AC23" s="42"/>
      <c r="AD23" s="42"/>
      <c r="AE23" s="42"/>
      <c r="AF23" s="42"/>
      <c r="AG23" s="42"/>
      <c r="AH23" s="42"/>
      <c r="AI23" s="42"/>
      <c r="AJ23" s="42"/>
      <c r="AK23" s="42"/>
      <c r="AL23" s="42"/>
      <c r="AM23" s="42"/>
      <c r="AN23" s="42"/>
      <c r="AO23" s="42"/>
      <c r="AP23" s="42"/>
      <c r="AQ23" s="42"/>
      <c r="AR23" s="42"/>
    </row>
    <row r="24" ht="72" spans="1:44">
      <c r="A24" s="50">
        <v>15</v>
      </c>
      <c r="B24" s="51" t="s">
        <v>106</v>
      </c>
      <c r="C24" s="37" t="s">
        <v>107</v>
      </c>
      <c r="D24" s="66" t="s">
        <v>108</v>
      </c>
      <c r="E24" s="53">
        <v>46051</v>
      </c>
      <c r="F24" s="40"/>
      <c r="G24" s="41"/>
      <c r="H24" s="41"/>
      <c r="I24" s="41"/>
      <c r="J24" s="42"/>
      <c r="K24" s="42">
        <f t="shared" si="0"/>
        <v>0</v>
      </c>
      <c r="L24" s="43" t="e">
        <f t="shared" si="1"/>
        <v>#DIV/0!</v>
      </c>
      <c r="M24" s="44" t="e">
        <f t="shared" si="2"/>
        <v>#DIV/0!</v>
      </c>
      <c r="N24" s="45" t="s">
        <v>109</v>
      </c>
      <c r="O24" s="45" t="s">
        <v>110</v>
      </c>
      <c r="P24" s="45" t="s">
        <v>111</v>
      </c>
      <c r="Q24" s="46"/>
      <c r="R24" s="46"/>
      <c r="S24" s="42"/>
      <c r="T24" s="42"/>
      <c r="U24" s="42"/>
      <c r="V24" s="47"/>
      <c r="W24" s="42"/>
      <c r="X24" s="42"/>
      <c r="Y24" s="42"/>
      <c r="Z24" s="42"/>
      <c r="AA24" s="42"/>
      <c r="AB24" s="42"/>
      <c r="AC24" s="42"/>
      <c r="AD24" s="42"/>
      <c r="AE24" s="42"/>
      <c r="AF24" s="42"/>
      <c r="AG24" s="42"/>
      <c r="AH24" s="42"/>
      <c r="AI24" s="42"/>
      <c r="AJ24" s="42"/>
      <c r="AK24" s="42"/>
      <c r="AL24" s="42"/>
      <c r="AM24" s="42"/>
      <c r="AN24" s="42"/>
      <c r="AO24" s="42"/>
      <c r="AP24" s="42"/>
      <c r="AQ24" s="42"/>
      <c r="AR24" s="42"/>
    </row>
    <row r="25" ht="120" spans="1:44">
      <c r="A25" s="50">
        <v>16</v>
      </c>
      <c r="B25" s="51" t="s">
        <v>112</v>
      </c>
      <c r="C25" s="37" t="s">
        <v>113</v>
      </c>
      <c r="D25" s="66" t="s">
        <v>114</v>
      </c>
      <c r="E25" s="53">
        <v>46056</v>
      </c>
      <c r="F25" s="40"/>
      <c r="G25" s="41"/>
      <c r="H25" s="41"/>
      <c r="I25" s="41"/>
      <c r="J25" s="42"/>
      <c r="K25" s="42">
        <f t="shared" si="0"/>
        <v>0</v>
      </c>
      <c r="L25" s="43" t="e">
        <f t="shared" si="1"/>
        <v>#DIV/0!</v>
      </c>
      <c r="M25" s="44" t="e">
        <f t="shared" si="2"/>
        <v>#DIV/0!</v>
      </c>
      <c r="N25" s="46" t="s">
        <v>115</v>
      </c>
      <c r="O25" s="45" t="s">
        <v>116</v>
      </c>
      <c r="P25" s="45" t="s">
        <v>117</v>
      </c>
      <c r="Q25" s="46"/>
      <c r="R25" s="46"/>
      <c r="S25" s="42"/>
      <c r="T25" s="42"/>
      <c r="U25" s="42"/>
      <c r="V25" s="47"/>
      <c r="W25" s="42"/>
      <c r="X25" s="42"/>
      <c r="Y25" s="42"/>
      <c r="Z25" s="42"/>
      <c r="AA25" s="42"/>
      <c r="AB25" s="42"/>
      <c r="AC25" s="42"/>
      <c r="AD25" s="42"/>
      <c r="AE25" s="42"/>
      <c r="AF25" s="42"/>
      <c r="AG25" s="42"/>
      <c r="AH25" s="42"/>
      <c r="AI25" s="42"/>
      <c r="AJ25" s="42"/>
      <c r="AK25" s="42"/>
      <c r="AL25" s="42"/>
      <c r="AM25" s="42"/>
      <c r="AN25" s="42"/>
      <c r="AO25" s="42"/>
      <c r="AP25" s="42"/>
      <c r="AQ25" s="42"/>
      <c r="AR25" s="42"/>
    </row>
    <row r="26" ht="48" spans="1:44">
      <c r="A26" s="67">
        <v>17</v>
      </c>
      <c r="B26" s="67" t="s">
        <v>118</v>
      </c>
      <c r="C26" s="68" t="s">
        <v>119</v>
      </c>
      <c r="D26" s="69" t="s">
        <v>120</v>
      </c>
      <c r="E26" s="70">
        <v>46098</v>
      </c>
      <c r="F26" s="71"/>
      <c r="G26" s="72"/>
      <c r="H26" s="72"/>
      <c r="I26" s="72"/>
      <c r="J26" s="42"/>
      <c r="K26" s="42">
        <f t="shared" si="0"/>
        <v>0</v>
      </c>
      <c r="L26" s="43" t="e">
        <f t="shared" si="1"/>
        <v>#DIV/0!</v>
      </c>
      <c r="M26" s="44" t="e">
        <f t="shared" si="2"/>
        <v>#DIV/0!</v>
      </c>
      <c r="N26" s="45" t="s">
        <v>121</v>
      </c>
      <c r="O26" s="46"/>
      <c r="P26" s="46"/>
      <c r="Q26" s="46"/>
      <c r="R26" s="46"/>
      <c r="S26" s="42"/>
      <c r="T26" s="42"/>
      <c r="U26" s="42"/>
      <c r="V26" s="47"/>
      <c r="W26" s="42"/>
      <c r="X26" s="42"/>
      <c r="Y26" s="42"/>
      <c r="Z26" s="42"/>
      <c r="AA26" s="42"/>
      <c r="AB26" s="42"/>
      <c r="AC26" s="42"/>
      <c r="AD26" s="42"/>
      <c r="AE26" s="42"/>
      <c r="AF26" s="42"/>
      <c r="AG26" s="42"/>
      <c r="AH26" s="42"/>
      <c r="AI26" s="42"/>
      <c r="AJ26" s="42"/>
      <c r="AK26" s="42"/>
      <c r="AL26" s="42"/>
      <c r="AM26" s="42"/>
      <c r="AN26" s="42"/>
      <c r="AO26" s="42"/>
      <c r="AP26" s="42"/>
      <c r="AQ26" s="42"/>
      <c r="AR26" s="42"/>
    </row>
    <row r="27" ht="108" spans="1:44">
      <c r="A27" s="67">
        <v>18</v>
      </c>
      <c r="B27" s="67" t="s">
        <v>122</v>
      </c>
      <c r="C27" s="68" t="s">
        <v>123</v>
      </c>
      <c r="D27" s="69" t="s">
        <v>124</v>
      </c>
      <c r="E27" s="70">
        <v>46108</v>
      </c>
      <c r="F27" s="71"/>
      <c r="G27" s="72"/>
      <c r="H27" s="72"/>
      <c r="I27" s="72"/>
      <c r="J27" s="42"/>
      <c r="K27" s="42">
        <f t="shared" si="0"/>
        <v>0</v>
      </c>
      <c r="L27" s="43" t="e">
        <f t="shared" si="1"/>
        <v>#DIV/0!</v>
      </c>
      <c r="M27" s="44" t="e">
        <f t="shared" si="2"/>
        <v>#DIV/0!</v>
      </c>
      <c r="N27" s="45" t="s">
        <v>125</v>
      </c>
      <c r="O27" s="45" t="s">
        <v>126</v>
      </c>
      <c r="P27" s="45" t="s">
        <v>127</v>
      </c>
      <c r="Q27" s="46"/>
      <c r="R27" s="46"/>
      <c r="T27" s="42"/>
      <c r="U27" s="47"/>
      <c r="V27" s="47"/>
      <c r="W27" s="42"/>
      <c r="X27" s="42"/>
      <c r="Y27" s="42"/>
      <c r="Z27" s="42"/>
      <c r="AA27" s="42"/>
      <c r="AB27" s="42"/>
      <c r="AC27" s="42"/>
      <c r="AD27" s="42"/>
      <c r="AE27" s="42"/>
      <c r="AF27" s="42"/>
      <c r="AG27" s="42"/>
      <c r="AH27" s="42"/>
      <c r="AI27" s="42"/>
      <c r="AJ27" s="42"/>
      <c r="AK27" s="42"/>
      <c r="AL27" s="42"/>
      <c r="AM27" s="42"/>
      <c r="AN27" s="42"/>
      <c r="AO27" s="42"/>
      <c r="AP27" s="42"/>
      <c r="AQ27" s="42"/>
      <c r="AR27" s="42"/>
    </row>
    <row r="28" spans="1:44">
      <c r="A28" s="73" t="s">
        <v>143</v>
      </c>
      <c r="B28" s="73"/>
      <c r="C28" s="73"/>
      <c r="D28" s="73"/>
      <c r="E28" s="73"/>
      <c r="F28" s="73"/>
      <c r="G28" s="73"/>
      <c r="H28" s="73"/>
      <c r="I28" s="73"/>
      <c r="J28" s="73"/>
      <c r="K28" s="73"/>
      <c r="L28" s="73"/>
      <c r="M28" s="73"/>
      <c r="N28" s="73"/>
      <c r="O28" s="73"/>
      <c r="P28" s="73"/>
      <c r="Q28" s="73"/>
      <c r="R28" s="73"/>
      <c r="S28" s="47"/>
      <c r="T28" s="47"/>
      <c r="U28" s="42">
        <f t="shared" ref="U28:X28" si="3">U5</f>
        <v>0</v>
      </c>
      <c r="V28" s="42">
        <f t="shared" si="3"/>
        <v>0</v>
      </c>
      <c r="W28" s="42">
        <f t="shared" si="3"/>
        <v>0</v>
      </c>
      <c r="X28" s="42">
        <f t="shared" si="3"/>
        <v>0</v>
      </c>
      <c r="Y28" s="74"/>
      <c r="Z28" s="74"/>
      <c r="AA28" s="74"/>
      <c r="AB28" s="74"/>
      <c r="AC28" s="74"/>
      <c r="AD28" s="74"/>
      <c r="AE28" s="74"/>
      <c r="AF28" s="74"/>
      <c r="AG28" s="74"/>
      <c r="AH28" s="74"/>
      <c r="AI28" s="74"/>
      <c r="AJ28" s="74"/>
      <c r="AK28" s="74"/>
      <c r="AL28" s="74"/>
      <c r="AM28" s="74"/>
      <c r="AN28" s="74"/>
      <c r="AO28" s="74"/>
      <c r="AP28" s="74"/>
      <c r="AQ28" s="74"/>
      <c r="AR28" s="74"/>
    </row>
    <row r="29" spans="1:44">
      <c r="A29" s="73" t="s">
        <v>144</v>
      </c>
      <c r="B29" s="73"/>
      <c r="C29" s="73"/>
      <c r="D29" s="73"/>
      <c r="E29" s="73"/>
      <c r="F29" s="73"/>
      <c r="G29" s="73"/>
      <c r="H29" s="73"/>
      <c r="I29" s="73"/>
      <c r="J29" s="73"/>
      <c r="K29" s="73"/>
      <c r="L29" s="73"/>
      <c r="M29" s="73"/>
      <c r="N29" s="73"/>
      <c r="O29" s="73"/>
      <c r="P29" s="73"/>
      <c r="Q29" s="73"/>
      <c r="R29" s="73"/>
      <c r="S29" s="47"/>
      <c r="T29" s="47"/>
      <c r="U29" s="42">
        <f t="shared" ref="U29:W29" si="4">W6</f>
        <v>0</v>
      </c>
      <c r="V29" s="42">
        <f t="shared" si="4"/>
        <v>0</v>
      </c>
      <c r="W29" s="42">
        <f t="shared" si="4"/>
        <v>0</v>
      </c>
      <c r="X29" s="42"/>
      <c r="Y29" s="74"/>
      <c r="Z29" s="74"/>
      <c r="AA29" s="74"/>
      <c r="AB29" s="74"/>
      <c r="AC29" s="74"/>
      <c r="AD29" s="74"/>
      <c r="AE29" s="74"/>
      <c r="AF29" s="74"/>
      <c r="AG29" s="74"/>
      <c r="AH29" s="74"/>
      <c r="AI29" s="74"/>
      <c r="AJ29" s="74"/>
      <c r="AK29" s="74"/>
      <c r="AL29" s="74"/>
      <c r="AM29" s="74"/>
      <c r="AN29" s="74"/>
      <c r="AO29" s="74"/>
      <c r="AP29" s="74"/>
      <c r="AQ29" s="74"/>
      <c r="AR29" s="74"/>
    </row>
    <row r="30" spans="1:44">
      <c r="A30" s="73" t="s">
        <v>145</v>
      </c>
      <c r="B30" s="73"/>
      <c r="C30" s="73"/>
      <c r="D30" s="73"/>
      <c r="E30" s="73"/>
      <c r="F30" s="73"/>
      <c r="G30" s="73"/>
      <c r="H30" s="73"/>
      <c r="I30" s="73"/>
      <c r="J30" s="73"/>
      <c r="K30" s="73"/>
      <c r="L30" s="73"/>
      <c r="M30" s="73"/>
      <c r="N30" s="73"/>
      <c r="O30" s="73"/>
      <c r="P30" s="73"/>
      <c r="Q30" s="73"/>
      <c r="R30" s="73"/>
      <c r="S30" s="42">
        <f t="shared" ref="S30:X30" si="5">SUM(S7:S27)</f>
        <v>0</v>
      </c>
      <c r="T30" s="42">
        <f t="shared" si="5"/>
        <v>0</v>
      </c>
      <c r="U30" s="42">
        <f t="shared" si="5"/>
        <v>0</v>
      </c>
      <c r="V30" s="42">
        <f t="shared" si="5"/>
        <v>0</v>
      </c>
      <c r="W30" s="42">
        <f t="shared" si="5"/>
        <v>0</v>
      </c>
      <c r="X30" s="42">
        <f t="shared" si="5"/>
        <v>0</v>
      </c>
      <c r="Y30" s="74"/>
      <c r="Z30" s="74"/>
      <c r="AA30" s="74"/>
      <c r="AB30" s="74"/>
      <c r="AC30" s="74"/>
      <c r="AD30" s="74"/>
      <c r="AE30" s="74"/>
      <c r="AF30" s="74"/>
      <c r="AG30" s="74"/>
      <c r="AH30" s="74"/>
      <c r="AI30" s="74"/>
      <c r="AJ30" s="74"/>
      <c r="AK30" s="74"/>
      <c r="AL30" s="74"/>
      <c r="AM30" s="74"/>
      <c r="AN30" s="74"/>
      <c r="AO30" s="74"/>
      <c r="AP30" s="74"/>
      <c r="AQ30" s="74"/>
      <c r="AR30" s="74"/>
    </row>
    <row r="31" spans="1:44">
      <c r="S31" s="10">
        <f>S30+T30+U30+V30+W30+X30+W28+X28</f>
        <v>0</v>
      </c>
    </row>
    <row r="32" spans="1:44">
      <c r="S32" s="2">
        <f>S30</f>
        <v>0</v>
      </c>
    </row>
    <row r="43" spans="18:18">
      <c r="R43" s="3">
        <v>1339126.41</v>
      </c>
    </row>
    <row r="44" spans="18:18">
      <c r="R44" s="3">
        <v>6614766.31</v>
      </c>
    </row>
    <row r="45" spans="18:18">
      <c r="R45" s="3">
        <v>2572409.12</v>
      </c>
    </row>
  </sheetData>
  <mergeCells count="26">
    <mergeCell ref="A1:AR1"/>
    <mergeCell ref="G3:I3"/>
    <mergeCell ref="J3:M3"/>
    <mergeCell ref="N3:R3"/>
    <mergeCell ref="S3:AR3"/>
    <mergeCell ref="P4:R4"/>
    <mergeCell ref="A28:R28"/>
    <mergeCell ref="A29:R29"/>
    <mergeCell ref="A30:R30"/>
    <mergeCell ref="A3:A4"/>
    <mergeCell ref="A5:A7"/>
    <mergeCell ref="A12:A13"/>
    <mergeCell ref="A16:A18"/>
    <mergeCell ref="B3:B4"/>
    <mergeCell ref="B5:B7"/>
    <mergeCell ref="B12:B13"/>
    <mergeCell ref="B16:B18"/>
    <mergeCell ref="C3:C4"/>
    <mergeCell ref="C16:C18"/>
    <mergeCell ref="D3:D4"/>
    <mergeCell ref="D12:D13"/>
    <mergeCell ref="E3:E4"/>
    <mergeCell ref="E5:E7"/>
    <mergeCell ref="E12:E13"/>
    <mergeCell ref="E16:E18"/>
    <mergeCell ref="F3:F4"/>
  </mergeCells>
  <pageMargins left="0.75" right="0.75" top="1" bottom="1" header="0.5" footer="0.5"/>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1"/>
  <sheetViews>
    <sheetView workbookViewId="0">
      <selection activeCell="H15" sqref="H15"/>
    </sheetView>
  </sheetViews>
  <sheetFormatPr defaultColWidth="8.88888888888889" defaultRowHeight="14.4" outlineLevelCol="6"/>
  <sheetData>
    <row r="1" spans="1:7">
      <c r="A1" s="1" t="s">
        <v>1</v>
      </c>
      <c r="B1" s="1" t="s">
        <v>146</v>
      </c>
      <c r="C1" s="1" t="s">
        <v>147</v>
      </c>
      <c r="D1" s="1" t="s">
        <v>148</v>
      </c>
      <c r="E1" s="1" t="s">
        <v>149</v>
      </c>
      <c r="F1" s="1" t="s">
        <v>150</v>
      </c>
      <c r="G1" t="s">
        <v>151</v>
      </c>
    </row>
    <row r="2" spans="1:7">
      <c r="A2" s="1">
        <v>1</v>
      </c>
      <c r="B2" s="1">
        <v>7500</v>
      </c>
      <c r="C2" s="1">
        <f>D2+E2</f>
        <v>410</v>
      </c>
      <c r="D2" s="1">
        <v>410</v>
      </c>
      <c r="E2" s="1"/>
      <c r="F2" s="1" t="s">
        <v>152</v>
      </c>
    </row>
    <row r="3" spans="1:7">
      <c r="A3" s="1">
        <v>2</v>
      </c>
      <c r="B3" s="1">
        <v>7500</v>
      </c>
      <c r="C3" s="1">
        <f t="shared" ref="C3:C7" si="0">D3+C2</f>
        <v>928.2</v>
      </c>
      <c r="D3" s="1">
        <f>518.2+E3</f>
        <v>518.2</v>
      </c>
      <c r="E3" s="1">
        <v>0</v>
      </c>
      <c r="F3" s="1" t="s">
        <v>153</v>
      </c>
    </row>
    <row r="4" spans="1:7">
      <c r="A4" s="1">
        <v>3</v>
      </c>
      <c r="B4" s="1">
        <v>7500</v>
      </c>
      <c r="C4" s="1">
        <f t="shared" si="0"/>
        <v>950</v>
      </c>
      <c r="D4" s="1">
        <f>21.8+E4</f>
        <v>21.8</v>
      </c>
      <c r="E4" s="1">
        <v>0</v>
      </c>
      <c r="F4" s="1" t="s">
        <v>154</v>
      </c>
    </row>
    <row r="5" spans="1:7">
      <c r="A5" s="1">
        <v>4</v>
      </c>
      <c r="B5" s="1">
        <v>7500</v>
      </c>
      <c r="C5" s="1">
        <f t="shared" si="0"/>
        <v>1046.34</v>
      </c>
      <c r="D5" s="1">
        <f>96.34+E5</f>
        <v>96.34</v>
      </c>
      <c r="E5" s="1">
        <v>0</v>
      </c>
      <c r="F5" s="1" t="s">
        <v>155</v>
      </c>
    </row>
    <row r="6" spans="1:7">
      <c r="A6" s="1">
        <v>5</v>
      </c>
      <c r="B6" s="1">
        <v>7500</v>
      </c>
      <c r="C6" s="1">
        <f t="shared" si="0"/>
        <v>1323.85</v>
      </c>
      <c r="D6" s="1">
        <f>277.51+E6</f>
        <v>277.51</v>
      </c>
      <c r="E6" s="1">
        <v>0</v>
      </c>
      <c r="F6" s="1" t="s">
        <v>156</v>
      </c>
      <c r="G6">
        <f>D6+D5+D4+D7</f>
        <v>529.77</v>
      </c>
    </row>
    <row r="7" spans="1:7">
      <c r="A7" s="1">
        <v>6</v>
      </c>
      <c r="B7" s="1">
        <v>7500</v>
      </c>
      <c r="C7" s="1">
        <f t="shared" si="0"/>
        <v>1457.97</v>
      </c>
      <c r="D7">
        <v>134.12</v>
      </c>
      <c r="F7" t="s">
        <v>157</v>
      </c>
    </row>
    <row r="11" spans="1:7">
      <c r="F11">
        <v>4.22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合同支付情况</vt:lpstr>
      <vt:lpstr>产值情况 (2)</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86158</dc:creator>
  <cp:lastModifiedBy>德不孤1414054524</cp:lastModifiedBy>
  <dcterms:created xsi:type="dcterms:W3CDTF">2026-04-23T03:57:00Z</dcterms:created>
  <dcterms:modified xsi:type="dcterms:W3CDTF">2026-07-03T02:13:42Z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7D318EE2C4BB42748AF576ABFE853775_13</vt:lpwstr>
  </property>
  <property fmtid="{D5CDD505-2E9C-101B-9397-08002B2CF9AE}" pid="3" name="KSOProductBuildVer">
    <vt:lpwstr>2052-12.1.0.26895</vt:lpwstr>
  </property>
  <property fmtid="{D5CDD505-2E9C-101B-9397-08002B2CF9AE}" pid="4" name="CalculationRule">
    <vt:i4>1</vt:i4>
  </property>
</Properties>
</file>