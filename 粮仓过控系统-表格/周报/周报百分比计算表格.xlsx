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3"/>
  </bookViews>
  <sheets>
    <sheet name="6.17" sheetId="1" r:id="rId1"/>
    <sheet name="6.24" sheetId="2" r:id="rId2"/>
    <sheet name="7.1" sheetId="3" r:id="rId3"/>
    <sheet name="7.1 (增加设备购置费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<sst xmlns="http://schemas.openxmlformats.org/spreadsheetml/2006/main" count="52" uniqueCount="13">
  <si>
    <t>项目总投资</t>
  </si>
  <si>
    <t>2026年度计划投资</t>
  </si>
  <si>
    <t>2026年度已完成投资</t>
  </si>
  <si>
    <t>其中：建安工程费</t>
  </si>
  <si>
    <t>其中：二类费用</t>
  </si>
  <si>
    <t>本周完成建安投资</t>
  </si>
  <si>
    <t>本周二类费用完成金额</t>
  </si>
  <si>
    <t>上周完成建安投资</t>
  </si>
  <si>
    <t>上周二类费用完成金额</t>
  </si>
  <si>
    <t>本周建设安装工程完成本年度计划（百分比）</t>
  </si>
  <si>
    <t>本周完成项目计划总投资（百分比）</t>
  </si>
  <si>
    <t>年度完成本年度计划投资（百分比）</t>
  </si>
  <si>
    <t>年度完成项目计划总投资（百分比）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</si>
</sst>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1" fillId="2" borderId="0" xfId="0" applyFont="1" applyFill="1">
      <alignment vertical="center"/>
    </xf>
    <xf numFmtId="176" fontId="2" fillId="2" borderId="0" xfId="0" applyNumberFormat="1" applyFont="1" applyFill="1">
      <alignment vertical="center"/>
    </xf>
    <xf numFmtId="10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4"/>
  <sheetViews>
    <sheetView workbookViewId="0">
      <selection activeCell="F5" sqref="F5"/>
    </sheetView>
  </sheetViews>
  <sheetFormatPr defaultColWidth="9.02777777777778" defaultRowHeight="25" customHeight="1" outlineLevelCol="2"/>
  <cols>
    <col min="1" max="1" width="9.02777777777778" style="1"/>
    <col min="2" max="2" width="46.7037037037037" style="1" customWidth="1"/>
    <col min="3" max="3" width="11.8888888888889" style="1"/>
    <col min="4" max="16384" width="9.02777777777778" style="1"/>
  </cols>
  <sheetData>
    <row r="2" customHeight="1" spans="2:3">
      <c r="B2" s="1" t="s">
        <v>0</v>
      </c>
      <c r="C2" s="2">
        <v>19320.33</v>
      </c>
    </row>
    <row r="3" customHeight="1" spans="2:3">
      <c r="B3" s="1" t="s">
        <v>1</v>
      </c>
      <c r="C3" s="2">
        <v>7500</v>
      </c>
    </row>
    <row r="4" customHeight="1" spans="2:3">
      <c r="B4" s="1" t="s">
        <v>2</v>
      </c>
      <c r="C4" s="2">
        <v>2436.5</v>
      </c>
    </row>
    <row r="5" customHeight="1" spans="2:3">
      <c r="B5" s="1" t="s">
        <v>3</v>
      </c>
      <c r="C5" s="2">
        <f>C7+C9</f>
        <v>2191.9</v>
      </c>
    </row>
    <row r="6" customHeight="1" spans="2:3">
      <c r="B6" s="1" t="s">
        <v>4</v>
      </c>
      <c r="C6" s="2">
        <f>C8+C10</f>
        <v>244.6</v>
      </c>
    </row>
    <row r="7" customHeight="1" spans="2:3">
      <c r="B7" s="3" t="s">
        <v>5</v>
      </c>
      <c r="C7" s="4">
        <v>80</v>
      </c>
    </row>
    <row r="8" customHeight="1" spans="2:3">
      <c r="B8" s="3" t="s">
        <v>6</v>
      </c>
      <c r="C8" s="4">
        <v>0</v>
      </c>
    </row>
    <row r="9" customHeight="1" spans="2:3">
      <c r="B9" s="3" t="s">
        <v>7</v>
      </c>
      <c r="C9" s="4">
        <v>2111.9</v>
      </c>
    </row>
    <row r="10" customHeight="1" spans="2:3">
      <c r="B10" s="3" t="s">
        <v>8</v>
      </c>
      <c r="C10" s="4">
        <v>244.6</v>
      </c>
    </row>
    <row r="11" customHeight="1" spans="2:3">
      <c r="B11" s="1" t="s">
        <v>9</v>
      </c>
      <c r="C11" s="5">
        <f>C7/C3</f>
        <v>0.0106666666666667</v>
      </c>
    </row>
    <row r="12" customHeight="1" spans="2:3">
      <c r="B12" s="1" t="s">
        <v>10</v>
      </c>
      <c r="C12" s="5">
        <f>C7/C2</f>
        <v>0.00414071602296648</v>
      </c>
    </row>
    <row r="13" customHeight="1" spans="2:3">
      <c r="B13" s="1" t="s">
        <v>11</v>
      </c>
      <c r="C13" s="5">
        <f>C4/C3</f>
        <v>0.324866666666667</v>
      </c>
    </row>
    <row r="14" customHeight="1" spans="2:3">
      <c r="B14" s="1" t="s">
        <v>12</v>
      </c>
      <c r="C14" s="5">
        <f>C4/C2</f>
        <v>0.126110682374473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4"/>
  <sheetViews>
    <sheetView workbookViewId="0">
      <selection activeCell="E13" sqref="E13"/>
    </sheetView>
  </sheetViews>
  <sheetFormatPr defaultColWidth="9.02777777777778" defaultRowHeight="25" customHeight="1" outlineLevelCol="2"/>
  <cols>
    <col min="1" max="1" width="9.02777777777778" style="1"/>
    <col min="2" max="2" width="46.7037037037037" style="1" customWidth="1"/>
    <col min="3" max="3" width="11.8888888888889" style="1"/>
    <col min="4" max="16384" width="9.02777777777778" style="1"/>
  </cols>
  <sheetData>
    <row r="2" customHeight="1" spans="2:3">
      <c r="B2" s="1" t="s">
        <v>0</v>
      </c>
      <c r="C2" s="2">
        <v>19320.33</v>
      </c>
    </row>
    <row r="3" customHeight="1" spans="2:3">
      <c r="B3" s="1" t="s">
        <v>1</v>
      </c>
      <c r="C3" s="2">
        <v>7500</v>
      </c>
    </row>
    <row r="4" customHeight="1" spans="2:3">
      <c r="B4" s="1" t="s">
        <v>2</v>
      </c>
      <c r="C4" s="2">
        <f>C5+C6</f>
        <v>2516.5</v>
      </c>
    </row>
    <row r="5" customHeight="1" spans="2:3">
      <c r="B5" s="1" t="s">
        <v>3</v>
      </c>
      <c r="C5" s="2">
        <f>C7+C9</f>
        <v>2271.9</v>
      </c>
    </row>
    <row r="6" customHeight="1" spans="2:3">
      <c r="B6" s="1" t="s">
        <v>4</v>
      </c>
      <c r="C6" s="2">
        <f>C8+C10</f>
        <v>244.6</v>
      </c>
    </row>
    <row r="7" customHeight="1" spans="2:3">
      <c r="B7" s="3" t="s">
        <v>5</v>
      </c>
      <c r="C7" s="4">
        <v>80</v>
      </c>
    </row>
    <row r="8" customHeight="1" spans="2:3">
      <c r="B8" s="3" t="s">
        <v>6</v>
      </c>
      <c r="C8" s="4">
        <v>0</v>
      </c>
    </row>
    <row r="9" customHeight="1" spans="2:3">
      <c r="B9" s="3" t="s">
        <v>7</v>
      </c>
      <c r="C9" s="4">
        <v>2191.9</v>
      </c>
    </row>
    <row r="10" customHeight="1" spans="2:3">
      <c r="B10" s="3" t="s">
        <v>8</v>
      </c>
      <c r="C10" s="4">
        <v>244.6</v>
      </c>
    </row>
    <row r="11" customHeight="1" spans="2:3">
      <c r="B11" s="1" t="s">
        <v>9</v>
      </c>
      <c r="C11" s="5">
        <f>C7/C3</f>
        <v>0.0106666666666667</v>
      </c>
    </row>
    <row r="12" customHeight="1" spans="2:3">
      <c r="B12" s="1" t="s">
        <v>10</v>
      </c>
      <c r="C12" s="5">
        <f>C7/C2</f>
        <v>0.00414071602296648</v>
      </c>
    </row>
    <row r="13" customHeight="1" spans="2:3">
      <c r="B13" s="1" t="s">
        <v>11</v>
      </c>
      <c r="C13" s="5">
        <f>C4/C3</f>
        <v>0.335533333333333</v>
      </c>
    </row>
    <row r="14" customHeight="1" spans="2:3">
      <c r="B14" s="1" t="s">
        <v>12</v>
      </c>
      <c r="C14" s="5">
        <f>C4/C2</f>
        <v>0.130251398397439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4"/>
  <sheetViews>
    <sheetView zoomScale="115" zoomScaleNormal="115" workbookViewId="0">
      <selection activeCell="D5" sqref="D5"/>
    </sheetView>
  </sheetViews>
  <sheetFormatPr defaultColWidth="9.02777777777778" defaultRowHeight="25" customHeight="1" outlineLevelCol="2"/>
  <cols>
    <col min="1" max="1" width="9.02777777777778" style="1"/>
    <col min="2" max="2" width="46.7037037037037" style="1" customWidth="1"/>
    <col min="3" max="3" width="11.8888888888889" style="1"/>
    <col min="4" max="16384" width="9.02777777777778" style="1"/>
  </cols>
  <sheetData>
    <row r="2" customHeight="1" spans="2:3">
      <c r="B2" s="1" t="s">
        <v>0</v>
      </c>
      <c r="C2" s="2">
        <v>19320.33</v>
      </c>
    </row>
    <row r="3" customHeight="1" spans="2:3">
      <c r="B3" s="1" t="s">
        <v>1</v>
      </c>
      <c r="C3" s="2">
        <v>7500</v>
      </c>
    </row>
    <row r="4" customHeight="1" spans="2:3">
      <c r="B4" s="1" t="s">
        <v>2</v>
      </c>
      <c r="C4" s="2">
        <f>C5+C6</f>
        <v>2610</v>
      </c>
    </row>
    <row r="5" customHeight="1" spans="2:3">
      <c r="B5" s="1" t="s">
        <v>3</v>
      </c>
      <c r="C5" s="2">
        <f>C7+C9</f>
        <v>2365.4</v>
      </c>
    </row>
    <row r="6" customHeight="1" spans="2:3">
      <c r="B6" s="1" t="s">
        <v>4</v>
      </c>
      <c r="C6" s="2">
        <f>C8+C10</f>
        <v>244.6</v>
      </c>
    </row>
    <row r="7" customHeight="1" spans="2:3">
      <c r="B7" s="3" t="s">
        <v>5</v>
      </c>
      <c r="C7" s="4">
        <v>93.5</v>
      </c>
    </row>
    <row r="8" customHeight="1" spans="2:3">
      <c r="B8" s="3" t="s">
        <v>6</v>
      </c>
      <c r="C8" s="4">
        <v>0</v>
      </c>
    </row>
    <row r="9" customHeight="1" spans="2:3">
      <c r="B9" s="3" t="s">
        <v>7</v>
      </c>
      <c r="C9" s="4">
        <v>2271.9</v>
      </c>
    </row>
    <row r="10" customHeight="1" spans="2:3">
      <c r="B10" s="3" t="s">
        <v>8</v>
      </c>
      <c r="C10" s="4">
        <v>244.6</v>
      </c>
    </row>
    <row r="11" customHeight="1" spans="2:3">
      <c r="B11" s="1" t="s">
        <v>9</v>
      </c>
      <c r="C11" s="5">
        <f>C7/C3</f>
        <v>0.0124666666666667</v>
      </c>
    </row>
    <row r="12" customHeight="1" spans="2:3">
      <c r="B12" s="1" t="s">
        <v>10</v>
      </c>
      <c r="C12" s="5">
        <f>C7/C2</f>
        <v>0.00483946185184207</v>
      </c>
    </row>
    <row r="13" customHeight="1" spans="2:3">
      <c r="B13" s="1" t="s">
        <v>11</v>
      </c>
      <c r="C13" s="5">
        <f>C4/C3</f>
        <v>0.348</v>
      </c>
    </row>
    <row r="14" customHeight="1" spans="2:3">
      <c r="B14" s="1" t="s">
        <v>12</v>
      </c>
      <c r="C14" s="5">
        <f>C4/C2</f>
        <v>0.135090860249281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4"/>
  <sheetViews>
    <sheetView tabSelected="1" zoomScale="115" zoomScaleNormal="115" workbookViewId="0">
      <selection activeCell="I8" sqref="I8"/>
    </sheetView>
  </sheetViews>
  <sheetFormatPr defaultColWidth="9.02777777777778" defaultRowHeight="25" customHeight="1" outlineLevelCol="2"/>
  <cols>
    <col min="1" max="1" width="9.02777777777778" style="1"/>
    <col min="2" max="2" width="46.7037037037037" style="1" customWidth="1"/>
    <col min="3" max="3" width="11.8888888888889" style="1"/>
    <col min="4" max="16384" width="9.02777777777778" style="1"/>
  </cols>
  <sheetData>
    <row r="2" customHeight="1" spans="2:3">
      <c r="B2" s="1" t="s">
        <v>0</v>
      </c>
      <c r="C2" s="2">
        <v>19320.33</v>
      </c>
    </row>
    <row r="3" customHeight="1" spans="2:3">
      <c r="B3" s="1" t="s">
        <v>1</v>
      </c>
      <c r="C3" s="2">
        <v>7500</v>
      </c>
    </row>
    <row r="4" customHeight="1" spans="2:3">
      <c r="B4" s="1" t="s">
        <v>2</v>
      </c>
      <c r="C4" s="2">
        <f>C5+C6</f>
        <v>3610</v>
      </c>
    </row>
    <row r="5" customHeight="1" spans="2:3">
      <c r="B5" s="1" t="s">
        <v>3</v>
      </c>
      <c r="C5" s="2">
        <f>C7+C9</f>
        <v>3365.4</v>
      </c>
    </row>
    <row r="6" customHeight="1" spans="2:3">
      <c r="B6" s="1" t="s">
        <v>4</v>
      </c>
      <c r="C6" s="2">
        <f>C8+C10</f>
        <v>244.6</v>
      </c>
    </row>
    <row r="7" customHeight="1" spans="2:3">
      <c r="B7" s="3" t="s">
        <v>5</v>
      </c>
      <c r="C7" s="4">
        <f>93.5+1000</f>
        <v>1093.5</v>
      </c>
    </row>
    <row r="8" customHeight="1" spans="2:3">
      <c r="B8" s="3" t="s">
        <v>6</v>
      </c>
      <c r="C8" s="4">
        <v>0</v>
      </c>
    </row>
    <row r="9" customHeight="1" spans="2:3">
      <c r="B9" s="3" t="s">
        <v>7</v>
      </c>
      <c r="C9" s="4">
        <v>2271.9</v>
      </c>
    </row>
    <row r="10" customHeight="1" spans="2:3">
      <c r="B10" s="3" t="s">
        <v>8</v>
      </c>
      <c r="C10" s="4">
        <v>244.6</v>
      </c>
    </row>
    <row r="11" customHeight="1" spans="2:3">
      <c r="B11" s="1" t="s">
        <v>9</v>
      </c>
      <c r="C11" s="5">
        <f>C7/C3</f>
        <v>0.1458</v>
      </c>
    </row>
    <row r="12" customHeight="1" spans="2:3">
      <c r="B12" s="1" t="s">
        <v>10</v>
      </c>
      <c r="C12" s="5">
        <f>C7/C2</f>
        <v>0.0565984121389231</v>
      </c>
    </row>
    <row r="13" customHeight="1" spans="2:3">
      <c r="B13" s="1" t="s">
        <v>11</v>
      </c>
      <c r="C13" s="5">
        <f>C4/C3</f>
        <v>0.481333333333333</v>
      </c>
    </row>
    <row r="14" customHeight="1" spans="2:3">
      <c r="B14" s="1" t="s">
        <v>12</v>
      </c>
      <c r="C14" s="5">
        <f>C4/C2</f>
        <v>0.186849810536362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6.17</vt:lpstr>
      <vt:lpstr>6.24</vt:lpstr>
      <vt:lpstr>7.1</vt:lpstr>
      <vt:lpstr>7.1 (增加设备购置费)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FLMH-32</dc:creator>
  <cp:lastModifiedBy>德不孤1414054524</cp:lastModifiedBy>
  <dcterms:created xsi:type="dcterms:W3CDTF">2026-05-13T04:44:00Z</dcterms:created>
  <dcterms:modified xsi:type="dcterms:W3CDTF">2026-07-01T03:40:12Z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9B36FCB7FF494B27A2CD85DA0932D1BE_11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