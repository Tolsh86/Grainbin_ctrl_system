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firstSheet="2"/>
  </bookViews>
  <sheets>
    <sheet name="新投项目" sheetId="5" r:id="rId1"/>
    <sheet name="Sheet1" sheetId="4" state="hidden" r:id="rId2"/>
    <sheet name="续投项目 (2)" sheetId="3" state="hidden" r:id="rId3"/>
  </sheets>
  <definedNames>
    <definedName name="_xlnm._FilterDatabase" localSheetId="2" hidden="1">'续投项目 (2)'!$A$5:$AE$32</definedName>
    <definedName name="_xlnm.Print_Titles" localSheetId="2">'续投项目 (2)'!$3:$5</definedName>
    <definedName name="_xlnm._FilterDatabase" localSheetId="0" hidden="1">新投项目!$A$3:$V$5</definedName>
    <definedName name="_xlnm.Print_Titles" localSheetId="0">新投项目!$3:$5</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HP</author>
  </authors>
  <commentList>
    <comment ref="Q21" authorId="0">
      <text>
        <r>
          <rPr>
            <sz val="16"/>
            <rFont val="宋体"/>
            <charset val="134"/>
          </rPr>
          <t>其中文旅集团融资2.23亿元</t>
        </r>
      </text>
    </comment>
  </commentList>
</comments>
</file>

<file path=xl/sharedStrings.xml><?xml version="1.0" encoding="utf-8"?>
<sst xmlns="http://schemas.openxmlformats.org/spreadsheetml/2006/main" count="560" uniqueCount="217">
  <si>
    <t>德阳发展集团2026年投资计划表（新投项目）</t>
  </si>
  <si>
    <t>单位：万元</t>
  </si>
  <si>
    <t>序号</t>
  </si>
  <si>
    <t>项目名称</t>
  </si>
  <si>
    <t>项目性质</t>
  </si>
  <si>
    <t>投资时序</t>
  </si>
  <si>
    <t>业主单位</t>
  </si>
  <si>
    <t>项目内容（建设内容）</t>
  </si>
  <si>
    <t>实施主体</t>
  </si>
  <si>
    <t>投资性质</t>
  </si>
  <si>
    <t>投资结构</t>
  </si>
  <si>
    <t>投资领域</t>
  </si>
  <si>
    <t>实施时间</t>
  </si>
  <si>
    <t>计划总投资</t>
  </si>
  <si>
    <t>2026年计划投资</t>
  </si>
  <si>
    <r>
      <rPr>
        <b/>
        <sz val="16"/>
        <rFont val="黑体"/>
        <charset val="134"/>
      </rPr>
      <t>本月完成投资额</t>
    </r>
  </si>
  <si>
    <r>
      <rPr>
        <b/>
        <sz val="16"/>
        <rFont val="黑体"/>
        <charset val="134"/>
      </rPr>
      <t>本年完成投资额</t>
    </r>
  </si>
  <si>
    <t>累计完成投资额</t>
  </si>
  <si>
    <t>本月项目进展</t>
  </si>
  <si>
    <t>投资预期收益</t>
  </si>
  <si>
    <t>业务划分</t>
  </si>
  <si>
    <t>区域</t>
  </si>
  <si>
    <t>主业</t>
  </si>
  <si>
    <t>非主业</t>
  </si>
  <si>
    <t>培育业</t>
  </si>
  <si>
    <r>
      <rPr>
        <sz val="16"/>
        <rFont val="宋体"/>
        <charset val="134"/>
      </rPr>
      <t>川西现代粮食物流中心建设</t>
    </r>
    <r>
      <rPr>
        <sz val="16"/>
        <color theme="1"/>
        <rFont val="宋体"/>
        <charset val="134"/>
      </rPr>
      <t>项目</t>
    </r>
  </si>
  <si>
    <r>
      <rPr>
        <sz val="16"/>
        <rFont val="宋体"/>
        <charset val="134"/>
      </rPr>
      <t>功能性项目</t>
    </r>
  </si>
  <si>
    <r>
      <rPr>
        <sz val="16"/>
        <rFont val="宋体"/>
        <charset val="134"/>
      </rPr>
      <t>续投项目</t>
    </r>
  </si>
  <si>
    <t>产投集团</t>
  </si>
  <si>
    <r>
      <rPr>
        <sz val="16"/>
        <rFont val="宋体"/>
        <charset val="134"/>
      </rPr>
      <t>新建</t>
    </r>
    <r>
      <rPr>
        <sz val="16"/>
        <color theme="1"/>
        <rFont val="Times New Roman"/>
        <charset val="134"/>
      </rPr>
      <t>7.25</t>
    </r>
    <r>
      <rPr>
        <sz val="16"/>
        <color theme="1"/>
        <rFont val="宋体"/>
        <charset val="134"/>
      </rPr>
      <t>万吨高标准粮仓，其中浅圆仓</t>
    </r>
    <r>
      <rPr>
        <sz val="16"/>
        <color theme="1"/>
        <rFont val="Times New Roman"/>
        <charset val="134"/>
      </rPr>
      <t>5.25</t>
    </r>
    <r>
      <rPr>
        <sz val="16"/>
        <color theme="1"/>
        <rFont val="宋体"/>
        <charset val="134"/>
      </rPr>
      <t>万吨，低温平房仓</t>
    </r>
    <r>
      <rPr>
        <sz val="16"/>
        <color theme="1"/>
        <rFont val="Times New Roman"/>
        <charset val="134"/>
      </rPr>
      <t>2</t>
    </r>
    <r>
      <rPr>
        <sz val="16"/>
        <color theme="1"/>
        <rFont val="宋体"/>
        <charset val="134"/>
      </rPr>
      <t>万吨，配套建设卸粮棚、工作塔、仓间罩棚；新建</t>
    </r>
    <r>
      <rPr>
        <sz val="16"/>
        <color theme="1"/>
        <rFont val="Times New Roman"/>
        <charset val="134"/>
      </rPr>
      <t>4600</t>
    </r>
    <r>
      <rPr>
        <sz val="16"/>
        <color theme="1"/>
        <rFont val="宋体"/>
        <charset val="134"/>
      </rPr>
      <t>吨食用油罐，配套建设油泵房、发油棚；新建质检楼，配套建设附属总平工程；仓顶阳光及附属设施。</t>
    </r>
  </si>
  <si>
    <r>
      <rPr>
        <sz val="16"/>
        <rFont val="宋体"/>
        <charset val="134"/>
      </rPr>
      <t>产投集团</t>
    </r>
    <r>
      <rPr>
        <sz val="16"/>
        <rFont val="Times New Roman"/>
        <charset val="134"/>
      </rPr>
      <t xml:space="preserve">
</t>
    </r>
    <r>
      <rPr>
        <sz val="16"/>
        <rFont val="宋体"/>
        <charset val="134"/>
      </rPr>
      <t>省食油储备</t>
    </r>
  </si>
  <si>
    <r>
      <rPr>
        <sz val="16"/>
        <rFont val="宋体"/>
        <charset val="134"/>
      </rPr>
      <t>固定资产投资</t>
    </r>
  </si>
  <si>
    <r>
      <rPr>
        <sz val="16"/>
        <rFont val="宋体"/>
        <charset val="134"/>
      </rPr>
      <t>民生和社会事业类</t>
    </r>
  </si>
  <si>
    <t>/</t>
  </si>
  <si>
    <t>2025.12-2027.11</t>
  </si>
  <si>
    <r>
      <rPr>
        <sz val="16"/>
        <rFont val="宋体"/>
        <charset val="134"/>
      </rPr>
      <t>功能性项目：通过承担省市两级政府政策性粮食储备业务实现资金平衡</t>
    </r>
  </si>
  <si>
    <t>√</t>
  </si>
  <si>
    <r>
      <rPr>
        <sz val="16"/>
        <rFont val="宋体"/>
        <charset val="134"/>
      </rPr>
      <t>市内</t>
    </r>
  </si>
  <si>
    <t>计数项:项目名称</t>
  </si>
  <si>
    <t>求和项:计划总投资</t>
  </si>
  <si>
    <t>求和项:2025年计划投资</t>
  </si>
  <si>
    <t>发展集团</t>
  </si>
  <si>
    <t>建工集团</t>
  </si>
  <si>
    <t>城发集团</t>
  </si>
  <si>
    <t>文旅集团</t>
  </si>
  <si>
    <t>能源集团</t>
  </si>
  <si>
    <t>商投集团</t>
  </si>
  <si>
    <t>成德轨道</t>
  </si>
  <si>
    <t>数发集团</t>
  </si>
  <si>
    <t>总计</t>
  </si>
  <si>
    <t>功能性项目</t>
  </si>
  <si>
    <t>类型</t>
  </si>
  <si>
    <t>合计</t>
  </si>
  <si>
    <t>基础设施类</t>
  </si>
  <si>
    <t>民生和社会事业类</t>
  </si>
  <si>
    <t>生态环保类</t>
  </si>
  <si>
    <t>值</t>
  </si>
  <si>
    <t>数据</t>
  </si>
  <si>
    <r>
      <rPr>
        <sz val="10"/>
        <color rgb="FF000000"/>
        <rFont val="Times New Roman"/>
        <charset val="134"/>
      </rPr>
      <t>2024</t>
    </r>
    <r>
      <rPr>
        <sz val="10"/>
        <color rgb="FF000000"/>
        <rFont val="宋体"/>
        <charset val="134"/>
      </rPr>
      <t>年占比情况</t>
    </r>
  </si>
  <si>
    <t>项目数</t>
  </si>
  <si>
    <t>本年计划投资</t>
  </si>
  <si>
    <t>商业性项目</t>
  </si>
  <si>
    <t>装备制造</t>
  </si>
  <si>
    <t>材料化工</t>
  </si>
  <si>
    <t>生态环保</t>
  </si>
  <si>
    <t>打造美丽宜居德阳</t>
  </si>
  <si>
    <t>食品饮料</t>
  </si>
  <si>
    <r>
      <rPr>
        <sz val="11"/>
        <color rgb="FF000000"/>
        <rFont val="Times New Roman"/>
        <charset val="134"/>
      </rPr>
      <t>202</t>
    </r>
    <r>
      <rPr>
        <sz val="11"/>
        <color rgb="FF000000"/>
        <rFont val="Times New Roman"/>
        <charset val="134"/>
      </rPr>
      <t>4</t>
    </r>
    <r>
      <rPr>
        <sz val="11"/>
        <color rgb="FF000000"/>
        <rFont val="宋体"/>
        <charset val="134"/>
      </rPr>
      <t>年占比情况</t>
    </r>
  </si>
  <si>
    <t>续投项目</t>
  </si>
  <si>
    <t>新投项目</t>
  </si>
  <si>
    <r>
      <rPr>
        <sz val="10.5"/>
        <color rgb="FF000000"/>
        <rFont val="Times New Roman"/>
        <charset val="134"/>
      </rPr>
      <t>2024</t>
    </r>
    <r>
      <rPr>
        <sz val="10.5"/>
        <color rgb="FF000000"/>
        <rFont val="宋体"/>
        <charset val="134"/>
      </rPr>
      <t>年占比情况</t>
    </r>
  </si>
  <si>
    <t>市内</t>
  </si>
  <si>
    <t>市内项目</t>
  </si>
  <si>
    <t>市外</t>
  </si>
  <si>
    <t>市外项目</t>
  </si>
  <si>
    <t>求和项:中省资金</t>
  </si>
  <si>
    <t>求和项:专项债/一般债</t>
  </si>
  <si>
    <t>求和项:国债/基金</t>
  </si>
  <si>
    <t>求和项:自有资金</t>
  </si>
  <si>
    <t>求和项:融资资金</t>
  </si>
  <si>
    <t>求和项:其他资金</t>
  </si>
  <si>
    <t>求和项:中省资金2</t>
  </si>
  <si>
    <t>求和项:专项债/一般债2</t>
  </si>
  <si>
    <t>求和项:国债/基金2</t>
  </si>
  <si>
    <t>求和项:自有资金2</t>
  </si>
  <si>
    <t>求和项:融资资金2</t>
  </si>
  <si>
    <t>求和项:其他资金2</t>
  </si>
  <si>
    <t>德阳发展集团2025年投资计划表（续投项目）</t>
  </si>
  <si>
    <t>其中：建设资金筹措构成</t>
  </si>
  <si>
    <t>累计完成投资</t>
  </si>
  <si>
    <t>2025年计划投资</t>
  </si>
  <si>
    <t>中省资金</t>
  </si>
  <si>
    <t>专项债/一般债</t>
  </si>
  <si>
    <t>国债/基金</t>
  </si>
  <si>
    <t>自有资金</t>
  </si>
  <si>
    <t>融资资金</t>
  </si>
  <si>
    <t>其他资金</t>
  </si>
  <si>
    <t>成德大道德罗项目示范段项目（省重点）</t>
  </si>
  <si>
    <t>成德大道德罗项目示范段项目由德罗干线、罗江区连接线（含麓峰北路连接线）、白马关景区连接线三段组成，设计速度80km/h，双向6车道，线路全长21.861公里。</t>
  </si>
  <si>
    <t>固定资产投资</t>
  </si>
  <si>
    <t>2018.12-2025.09</t>
  </si>
  <si>
    <t>按照立项时《资金平衡方案》实现投资退出</t>
  </si>
  <si>
    <t>市域（郊）铁路成都至德阳线工程</t>
  </si>
  <si>
    <t>起于1号线韦家碾站，北止于西成高铁德阳北站；线路全长70.87km，设车站15座。</t>
  </si>
  <si>
    <t>2023.12-2027.12</t>
  </si>
  <si>
    <t>通过票款收入、广通商等收入实现资金平衡</t>
  </si>
  <si>
    <t>市域(郊)铁路成都至德阳线德阳南站站房及综合交通枢纽配套设施项目</t>
  </si>
  <si>
    <t>目前符合投向项目6个(最终项目建议可按照项目规划及融资需求适当调整)，总投资3.36亿元。项目位于天府旌城管委会管辖的德阳南站片区内，配套天鹤路(投资估算2000万元)、园区道路(投资估算1800万元)、公交首末站(总投资估算2560万元)、客运接驳站(总投资估算2520万元)、智慧停车场及充电站(总投资估算7900万元)、商业及配套设施(总投资估算10090万元)、二类费用(估算2530万元)、基本预备费(5%计取，约1600万元)、建设期利息(约2600万元)。</t>
  </si>
  <si>
    <t>2024.11-2029.11</t>
  </si>
  <si>
    <t>通过周边土地供应开发、服务区、广告牌位等收入，实现资金平衡</t>
  </si>
  <si>
    <t>德阳站综合交通枢纽改造项目</t>
  </si>
  <si>
    <t>1.德阳站、S11线连通工程，含漓江西一路、漓江西二路工程，两条道路各长1300米，宽16米；
2.旌阳区长江流域可持续发展（沱江上游-绵远河段）综合治理项目-河西段工程（S11 线德阳站东侧商业配套设施、地下换乘大厅、换乘通道、停车场及相关配套工程）建筑面积13177.14㎡；
3.德阳站北侧道路连通及配套工程，包括钱塘江路工程（紫金山路至太行山路）及下穿宝成、西成客专道路及部分市政道路贯通工程；
4.文德湖商业广场工程，建筑面积109267.20㎡；
5.德阳站西侧旅客同侧候车项目工程，包括德阳站西站房及相关配套商业服务设施（含地上、地下建筑及广场建设），建筑面积9400㎡，其中新建跨线站房7900㎡，新建车站1500㎡。</t>
  </si>
  <si>
    <t>2023.04-2027.12</t>
  </si>
  <si>
    <t>长江上游石亭江段水利项目（已确认的子项目）</t>
  </si>
  <si>
    <t>主要建设内容为修建石亭江堤防 41.6KM、拦沙坝6处、留水堰10 处、闸坝5座、石亭江及其支流 106.8KM河道及沿线环境综合提升工程，新建提升泵站、供水站取水工程、输水管网及智慧管理平台建设、灌区末级渠系整治及灌区续建配套与节水改造、开展德阳智慧水利建设、建设水利数据应用中心、针对水污染防治的城区管网检测排查及修复工程等。</t>
  </si>
  <si>
    <t>建工集团
国信建设</t>
  </si>
  <si>
    <t>2022.11-2027.11</t>
  </si>
  <si>
    <t>可利用物处置、农田灌溉、引水费等实现资金平衡（涉及各区县回购）</t>
  </si>
  <si>
    <t>德阳市博物馆建设项目</t>
  </si>
  <si>
    <t>总建筑面积 4.46万平方米，主要修建博物馆、图书馆主体建筑及停车场、道路并完善周边附属设施建设。</t>
  </si>
  <si>
    <t>2024.5-2026.5</t>
  </si>
  <si>
    <t>通过运营与租赁实现资金自平衡</t>
  </si>
  <si>
    <t>金鑫片区（一期）城市更新项目</t>
  </si>
  <si>
    <t>金鑫片区（一期）范围为衡山路以东，祁连山路北段省建七公司以西、沱江路以南、嘉陵江路以北，总占地面积约2823亩。配合属地政府，对片区内的集体土地、国有土地进行征收，对土地上的房屋建筑、构筑物、树木苗圃等进行拆除、补偿，对原居民的安置、房屋、耕地等进行补偿。将土地整理后，交付给土地收储中心。</t>
  </si>
  <si>
    <t>建工集团
润德城建
振兴发展</t>
  </si>
  <si>
    <t>其他投资</t>
  </si>
  <si>
    <t>2022.03-2025.12</t>
  </si>
  <si>
    <t>城市更新收入优先对城市更新实施主体投入的成本进行覆盖。</t>
  </si>
  <si>
    <t>德阳市三星堆旅游环线（天府旌城连接线）建设项目</t>
  </si>
  <si>
    <t>项目起于德阳市天府旌城规划道路锦屏山路交叉口，路线向西跨越规划成德大道北延线，路线继续向西跨越德阿公路，止于G350石亭江大桥桥头顺接石亭江大桥。主要建设内容为路基工程、路面工程、桥涵工程、路线交叉、交通安全及沿线设施、照明工程等；本项目项目路线长度2.684公里，荐按一级公路标准设计，设计速度80公里/小时，路基宽度33.5米。</t>
  </si>
  <si>
    <t>建工集团
德旌城建</t>
  </si>
  <si>
    <t>2025.03-2026.02</t>
  </si>
  <si>
    <t>城区排水设施改造提升项目</t>
  </si>
  <si>
    <t>项目内容：本项目分为三个标段
一标段：实施雨污混错接点位改造，新建和改造雨水管网约30公里，排涝沟渠内新增检查井、积沙池若干，建设及改造排涝沟渠（涵）约2公里，改造12座固定式排涝泵站；
二标段：对市中心城区约137个居民小区内排水系统进行排查，识别并改造瓶颈管段、雨污混错接点位、破损及功能失效设施；
三标段：在排涝沟渠关键节点安装液位计、雨量计等监测及数据传输设备若干，组建智慧化排水监控及调度系统。</t>
  </si>
  <si>
    <t>城发集团
杰阳排水</t>
  </si>
  <si>
    <t>2024.03-2025.03</t>
  </si>
  <si>
    <t>该项目无收入，建设资金来源为市本级财政资金和2023年特别国债，可实现资金平衡。</t>
  </si>
  <si>
    <t>公交南枢纽站建设项目</t>
  </si>
  <si>
    <t>占地约30亩，总建筑面积18003.29平方米，地上建筑面积 13885.58平方米，其中包含站房及辅助用房 9392.26平方米、配套用房4493.32平方米、地下停车库4117.71平方米（不计容面积）；建设停车场、充电桩、信息一体化平台、电子站牌、候车亭、各类设施设备等。</t>
  </si>
  <si>
    <t>城发集团
裕兴公交</t>
  </si>
  <si>
    <t>2023.05-2025.06</t>
  </si>
  <si>
    <t>通过停车场、交通枢纽、充电桩服务费等收益实现资金平衡。</t>
  </si>
  <si>
    <t>德阳市老年养护院项目</t>
  </si>
  <si>
    <t>老年养护院装饰装修工程、设施设备采购安装、全院适老化改造、智慧化建设、德孝文化打造等内容。</t>
  </si>
  <si>
    <r>
      <rPr>
        <sz val="16"/>
        <color theme="1"/>
        <rFont val="宋体"/>
        <charset val="134"/>
      </rPr>
      <t>文旅集团</t>
    </r>
    <r>
      <rPr>
        <sz val="16"/>
        <color theme="1"/>
        <rFont val="Times New Roman"/>
        <charset val="134"/>
      </rPr>
      <t xml:space="preserve">
</t>
    </r>
    <r>
      <rPr>
        <sz val="16"/>
        <color theme="1"/>
        <rFont val="宋体"/>
        <charset val="134"/>
      </rPr>
      <t>银发健康</t>
    </r>
  </si>
  <si>
    <t>2024.10-2025.10</t>
  </si>
  <si>
    <r>
      <rPr>
        <sz val="16"/>
        <color theme="1"/>
        <rFont val="宋体"/>
        <charset val="134"/>
      </rPr>
      <t>预测</t>
    </r>
    <r>
      <rPr>
        <sz val="16"/>
        <color theme="1"/>
        <rFont val="Times New Roman"/>
        <charset val="134"/>
      </rPr>
      <t>IRR</t>
    </r>
    <r>
      <rPr>
        <sz val="16"/>
        <color theme="1"/>
        <rFont val="宋体"/>
        <charset val="134"/>
      </rPr>
      <t>不低于</t>
    </r>
    <r>
      <rPr>
        <sz val="16"/>
        <color theme="1"/>
        <rFont val="Times New Roman"/>
        <charset val="134"/>
      </rPr>
      <t>5%</t>
    </r>
  </si>
  <si>
    <t>德阳市数字经济产业孵化园项目</t>
  </si>
  <si>
    <t>建设市场监管、教育、社区、消防、工业互联网赋能中心、数据治理工程等领域行业智慧应用平台。</t>
  </si>
  <si>
    <t>数发集团
产投数字</t>
  </si>
  <si>
    <t>2022.3-2026.12</t>
  </si>
  <si>
    <t>通过智慧教育运营、智慧社区服务、工业互联网赋能中心运营主要收入实现资金平衡。</t>
  </si>
  <si>
    <t>四川广能能源有限公司高效清洁燃料气综合利用项目</t>
  </si>
  <si>
    <r>
      <rPr>
        <sz val="16"/>
        <color theme="1"/>
        <rFont val="宋体"/>
        <charset val="134"/>
      </rPr>
      <t>通过重整实现对四川广能的控制，完成设计年产能</t>
    </r>
    <r>
      <rPr>
        <sz val="16"/>
        <color theme="1"/>
        <rFont val="Times New Roman"/>
        <charset val="134"/>
      </rPr>
      <t>22</t>
    </r>
    <r>
      <rPr>
        <sz val="16"/>
        <color theme="1"/>
        <rFont val="宋体"/>
        <charset val="134"/>
      </rPr>
      <t>万吨的</t>
    </r>
    <r>
      <rPr>
        <sz val="16"/>
        <color theme="1"/>
        <rFont val="Times New Roman"/>
        <charset val="134"/>
      </rPr>
      <t>LNG</t>
    </r>
    <r>
      <rPr>
        <sz val="16"/>
        <color theme="1"/>
        <rFont val="宋体"/>
        <charset val="134"/>
      </rPr>
      <t>工厂续建工作。</t>
    </r>
  </si>
  <si>
    <r>
      <rPr>
        <sz val="16"/>
        <color theme="1"/>
        <rFont val="宋体"/>
        <charset val="134"/>
      </rPr>
      <t>产投集团</t>
    </r>
    <r>
      <rPr>
        <sz val="16"/>
        <color theme="1"/>
        <rFont val="Times New Roman"/>
        <charset val="134"/>
      </rPr>
      <t xml:space="preserve">
</t>
    </r>
    <r>
      <rPr>
        <sz val="16"/>
        <color theme="1"/>
        <rFont val="宋体"/>
        <charset val="134"/>
      </rPr>
      <t>四川广能</t>
    </r>
  </si>
  <si>
    <t>2022.11-2025.12</t>
  </si>
  <si>
    <t>预测IRR为3%</t>
  </si>
  <si>
    <t>德阳市经开区再生资源利用园区基础设施项目</t>
  </si>
  <si>
    <t>在取得建设用地的前提下，建设再生资源循环利用高标准厂房5.4万平方米及配套；新建停车场0.41万平方米及配套；园区配套道路约5公里等。</t>
  </si>
  <si>
    <t>2022.11-2026.10</t>
  </si>
  <si>
    <t>预测IRR为4.23%</t>
  </si>
  <si>
    <t>无极污泥发电项目</t>
  </si>
  <si>
    <t>主要建设项目内容：主厂房、污泥处理车间、综合楼、化水车间、水泵房、冷却塔以及配套设施，总建筑面积31726.47平方米,新建1套2000t/d入厂污泥处理量的干化装置（一期污泥处理量1300t/d，二期预留污泥处理量700t/d），新建2x35t/h中温中压循环流化床污泥焚烧锅炉+1x2.5MW背压式+1x3.5MW 抽凝式汽轮发电机组。</t>
  </si>
  <si>
    <t>城发集团
无极国惠</t>
  </si>
  <si>
    <t>2024.08-2026.06</t>
  </si>
  <si>
    <t>预测IRR为4.6%</t>
  </si>
  <si>
    <t>德阳希尔顿逸林酒店（德阳保利国际城酒店、会展中心项目）</t>
  </si>
  <si>
    <t>文舍酒店公司将以商品房买卖形式购买保利建成后的物业，并完成装饰装修设计、建筑施工总承包、装修施工、设施设备采购、运营筹备等工作以达到基础运营条件。</t>
  </si>
  <si>
    <r>
      <rPr>
        <sz val="16"/>
        <color theme="1"/>
        <rFont val="宋体"/>
        <charset val="134"/>
      </rPr>
      <t>文旅集团</t>
    </r>
    <r>
      <rPr>
        <sz val="16"/>
        <color theme="1"/>
        <rFont val="Times New Roman"/>
        <charset val="134"/>
      </rPr>
      <t xml:space="preserve">
</t>
    </r>
    <r>
      <rPr>
        <sz val="16"/>
        <color theme="1"/>
        <rFont val="宋体"/>
        <charset val="134"/>
      </rPr>
      <t>文舍酒店</t>
    </r>
  </si>
  <si>
    <t>2023.09-2026.02</t>
  </si>
  <si>
    <t>通过出售会展部分、收取租金、酒店运营实现资金平衡</t>
  </si>
  <si>
    <t>德阳市智能（光储充放）充电网络建设项目</t>
  </si>
  <si>
    <r>
      <rPr>
        <sz val="16"/>
        <color theme="1"/>
        <rFont val="宋体"/>
        <charset val="134"/>
      </rPr>
      <t>建设</t>
    </r>
    <r>
      <rPr>
        <sz val="16"/>
        <color theme="1"/>
        <rFont val="Times New Roman"/>
        <charset val="134"/>
      </rPr>
      <t>5</t>
    </r>
    <r>
      <rPr>
        <sz val="16"/>
        <color theme="1"/>
        <rFont val="宋体"/>
        <charset val="134"/>
      </rPr>
      <t>座智能（光储充放）充电站、建设</t>
    </r>
    <r>
      <rPr>
        <sz val="16"/>
        <color theme="1"/>
        <rFont val="Times New Roman"/>
        <charset val="134"/>
      </rPr>
      <t>14</t>
    </r>
    <r>
      <rPr>
        <sz val="16"/>
        <color theme="1"/>
        <rFont val="宋体"/>
        <charset val="134"/>
      </rPr>
      <t>座公共充电站。</t>
    </r>
  </si>
  <si>
    <t>能源集团
志飞腾</t>
  </si>
  <si>
    <t>2022.08-2025.09</t>
  </si>
  <si>
    <r>
      <rPr>
        <sz val="16"/>
        <color theme="1"/>
        <rFont val="宋体"/>
        <charset val="134"/>
      </rPr>
      <t>年化收益率</t>
    </r>
    <r>
      <rPr>
        <sz val="16"/>
        <color theme="1"/>
        <rFont val="Times New Roman"/>
        <charset val="134"/>
      </rPr>
      <t>4.7%</t>
    </r>
    <r>
      <rPr>
        <sz val="16"/>
        <color theme="1"/>
        <rFont val="宋体"/>
        <charset val="134"/>
      </rPr>
      <t>（按照原投资制度执行，不低于五年期国债收益率）</t>
    </r>
  </si>
  <si>
    <t>川西现代粮食物流中心项目</t>
  </si>
  <si>
    <t>项目总体分为两期，现阶段建设实施的为项目一期内容。一期内容具体为：实施粮食仓储、食用油罐及配套设施和总图工程。新建7.25万吨原粮仓库（二类粮库），其中浅圆仓5.25万吨，低温平房仓2万吨，食用油油罐4600吨，配套建设卸粮棚、工作塔（含电梯、变配电系统和动力配电系统）、仓间罩棚、油泵房、发油棚；配套建设机械库、检化验楼、倒班楼、一站式服务楼、消防泵房及水池、门卫等总平工程；太阳能光伏发电站及附属设施。二期规划浅圆仓6万吨、食用油罐1840吨和大米加工车间，未来根据公司南站库点区域城市更新进度具体情况再实施。</t>
  </si>
  <si>
    <t>城发集团
省食油储备库</t>
  </si>
  <si>
    <t>2025.07-2027.06</t>
  </si>
  <si>
    <t>通过承担省市两级政府政策性粮食储备实现资金平衡。</t>
  </si>
  <si>
    <t>备下料中心（一期）</t>
  </si>
  <si>
    <t>备下料中心（一期）按照具备30万吨产能的总体目标进行“总体规划、分步实施”。一是收购四川麒征土地厂房资产（2万平米，占地95亩），二是进行现有厂房改造及机器设备购买。本期建设目标具备2万吨产能，计划投资6000万元。瞄准链主企业及配套企业，开展钢板、管材的备下料、主机厂工序零部件等结构件制作；同时结合生产能力，逐步向桥梁、环保设备、水利行业、轻钢结构、厂房钢结构等行业的备下料、铆装焊业务发展。</t>
  </si>
  <si>
    <t>2025.06-2026.12</t>
  </si>
  <si>
    <t>预测IRR为3.7%</t>
  </si>
  <si>
    <t>金石租赁D轮增资项目</t>
  </si>
  <si>
    <t>金石租赁拟进行D轮增资，改善公司资本结构</t>
  </si>
  <si>
    <t>股权投资</t>
  </si>
  <si>
    <t>2025.03-2025.08</t>
  </si>
  <si>
    <t>预测IRR为6.93%</t>
  </si>
  <si>
    <t>与重庆蓝洁合资组建净水剂生产公司和销售公司项目</t>
  </si>
  <si>
    <r>
      <rPr>
        <sz val="16"/>
        <color theme="1"/>
        <rFont val="宋体"/>
        <charset val="134"/>
      </rPr>
      <t>组建两个合资公司。其中，合资组建生产公司作为德阳市</t>
    </r>
    <r>
      <rPr>
        <sz val="16"/>
        <color theme="1"/>
        <rFont val="Times New Roman"/>
        <charset val="134"/>
      </rPr>
      <t>30</t>
    </r>
    <r>
      <rPr>
        <sz val="16"/>
        <color theme="1"/>
        <rFont val="宋体"/>
        <charset val="134"/>
      </rPr>
      <t>万吨年综合净水剂生产建设项目实施主体，公司注册资本2000万元，城发集团占股</t>
    </r>
    <r>
      <rPr>
        <sz val="16"/>
        <color theme="1"/>
        <rFont val="Times New Roman"/>
        <charset val="134"/>
      </rPr>
      <t>51%</t>
    </r>
    <r>
      <rPr>
        <sz val="16"/>
        <color theme="1"/>
        <rFont val="宋体"/>
        <charset val="134"/>
      </rPr>
      <t>，出资1020万元。合资组建销售公司作为净水剂销售主体，公司注册资本</t>
    </r>
    <r>
      <rPr>
        <sz val="16"/>
        <color theme="1"/>
        <rFont val="Times New Roman"/>
        <charset val="134"/>
      </rPr>
      <t>100</t>
    </r>
    <r>
      <rPr>
        <sz val="16"/>
        <color theme="1"/>
        <rFont val="宋体"/>
        <charset val="134"/>
      </rPr>
      <t>万元，城发集团占股</t>
    </r>
    <r>
      <rPr>
        <sz val="16"/>
        <color theme="1"/>
        <rFont val="Times New Roman"/>
        <charset val="134"/>
      </rPr>
      <t>49%</t>
    </r>
    <r>
      <rPr>
        <sz val="16"/>
        <color theme="1"/>
        <rFont val="宋体"/>
        <charset val="134"/>
      </rPr>
      <t>，出资</t>
    </r>
    <r>
      <rPr>
        <sz val="16"/>
        <color theme="1"/>
        <rFont val="Times New Roman"/>
        <charset val="134"/>
      </rPr>
      <t>49</t>
    </r>
    <r>
      <rPr>
        <sz val="16"/>
        <color theme="1"/>
        <rFont val="宋体"/>
        <charset val="134"/>
      </rPr>
      <t>万元。城发集团对组建两个合资公司合计总投资1069万元。</t>
    </r>
  </si>
  <si>
    <t>2025.05-2025.12</t>
  </si>
  <si>
    <r>
      <rPr>
        <sz val="16"/>
        <color theme="1"/>
        <rFont val="宋体"/>
        <charset val="134"/>
      </rPr>
      <t>预测IRR为</t>
    </r>
    <r>
      <rPr>
        <sz val="16"/>
        <color theme="1"/>
        <rFont val="Times New Roman"/>
        <charset val="134"/>
      </rPr>
      <t>4.23%</t>
    </r>
  </si>
  <si>
    <r>
      <rPr>
        <sz val="16"/>
        <color theme="1"/>
        <rFont val="宋体"/>
        <charset val="134"/>
      </rPr>
      <t>德阳市</t>
    </r>
    <r>
      <rPr>
        <sz val="16"/>
        <color theme="1"/>
        <rFont val="Times New Roman"/>
        <charset val="134"/>
      </rPr>
      <t>30</t>
    </r>
    <r>
      <rPr>
        <sz val="16"/>
        <color theme="1"/>
        <rFont val="宋体"/>
        <charset val="134"/>
      </rPr>
      <t>万吨年综合净水剂生产建设项目</t>
    </r>
  </si>
  <si>
    <r>
      <rPr>
        <sz val="16"/>
        <color theme="1"/>
        <rFont val="宋体"/>
        <charset val="134"/>
      </rPr>
      <t>在取得建设用地的前提下，建设</t>
    </r>
    <r>
      <rPr>
        <sz val="16"/>
        <color theme="1"/>
        <rFont val="Times New Roman"/>
        <charset val="134"/>
      </rPr>
      <t>30</t>
    </r>
    <r>
      <rPr>
        <sz val="16"/>
        <color theme="1"/>
        <rFont val="宋体"/>
        <charset val="134"/>
      </rPr>
      <t>万吨</t>
    </r>
    <r>
      <rPr>
        <sz val="16"/>
        <color theme="1"/>
        <rFont val="Times New Roman"/>
        <charset val="134"/>
      </rPr>
      <t>/</t>
    </r>
    <r>
      <rPr>
        <sz val="16"/>
        <color theme="1"/>
        <rFont val="宋体"/>
        <charset val="134"/>
      </rPr>
      <t>年综合净水剂生产线，其中液体聚氯化铝生产线</t>
    </r>
    <r>
      <rPr>
        <sz val="16"/>
        <color theme="1"/>
        <rFont val="Times New Roman"/>
        <charset val="134"/>
      </rPr>
      <t>2</t>
    </r>
    <r>
      <rPr>
        <sz val="16"/>
        <color theme="1"/>
        <rFont val="宋体"/>
        <charset val="134"/>
      </rPr>
      <t>条（</t>
    </r>
    <r>
      <rPr>
        <sz val="16"/>
        <color theme="1"/>
        <rFont val="Times New Roman"/>
        <charset val="134"/>
      </rPr>
      <t>10</t>
    </r>
    <r>
      <rPr>
        <sz val="16"/>
        <color theme="1"/>
        <rFont val="宋体"/>
        <charset val="134"/>
      </rPr>
      <t>万</t>
    </r>
    <r>
      <rPr>
        <sz val="16"/>
        <color theme="1"/>
        <rFont val="Times New Roman"/>
        <charset val="134"/>
      </rPr>
      <t>t/a</t>
    </r>
    <r>
      <rPr>
        <sz val="16"/>
        <color theme="1"/>
        <rFont val="宋体"/>
        <charset val="134"/>
      </rPr>
      <t>）、复合碳源生产线</t>
    </r>
    <r>
      <rPr>
        <sz val="16"/>
        <color theme="1"/>
        <rFont val="Times New Roman"/>
        <charset val="134"/>
      </rPr>
      <t>1</t>
    </r>
    <r>
      <rPr>
        <sz val="16"/>
        <color theme="1"/>
        <rFont val="宋体"/>
        <charset val="134"/>
      </rPr>
      <t>条生产线（</t>
    </r>
    <r>
      <rPr>
        <sz val="16"/>
        <color theme="1"/>
        <rFont val="Times New Roman"/>
        <charset val="134"/>
      </rPr>
      <t>10</t>
    </r>
    <r>
      <rPr>
        <sz val="16"/>
        <color theme="1"/>
        <rFont val="宋体"/>
        <charset val="134"/>
      </rPr>
      <t>万</t>
    </r>
    <r>
      <rPr>
        <sz val="16"/>
        <color theme="1"/>
        <rFont val="Times New Roman"/>
        <charset val="134"/>
      </rPr>
      <t>t/a</t>
    </r>
    <r>
      <rPr>
        <sz val="16"/>
        <color theme="1"/>
        <rFont val="宋体"/>
        <charset val="134"/>
      </rPr>
      <t>）、聚氯化铝铁生产线（</t>
    </r>
    <r>
      <rPr>
        <sz val="16"/>
        <color theme="1"/>
        <rFont val="Times New Roman"/>
        <charset val="134"/>
      </rPr>
      <t>10</t>
    </r>
    <r>
      <rPr>
        <sz val="16"/>
        <color theme="1"/>
        <rFont val="宋体"/>
        <charset val="134"/>
      </rPr>
      <t>万</t>
    </r>
    <r>
      <rPr>
        <sz val="16"/>
        <color theme="1"/>
        <rFont val="Times New Roman"/>
        <charset val="134"/>
      </rPr>
      <t>t/a</t>
    </r>
    <r>
      <rPr>
        <sz val="16"/>
        <color theme="1"/>
        <rFont val="宋体"/>
        <charset val="134"/>
      </rPr>
      <t>）。</t>
    </r>
  </si>
  <si>
    <t>城发集团、重庆蓝洁拟合资组建项目公司</t>
  </si>
  <si>
    <t>2025.05-2026.08</t>
  </si>
  <si>
    <r>
      <rPr>
        <sz val="16"/>
        <color theme="1"/>
        <rFont val="宋体"/>
        <charset val="134"/>
      </rPr>
      <t>预测IRR为</t>
    </r>
    <r>
      <rPr>
        <sz val="16"/>
        <color theme="1"/>
        <rFont val="Times New Roman"/>
        <charset val="134"/>
      </rPr>
      <t>4.22%</t>
    </r>
  </si>
  <si>
    <t>国信特来电充电站项目</t>
  </si>
  <si>
    <t>通过自投或合作共投模式建设新能源重卡充电站及智慧小区充电站项目（什邡雍湖小区智慧充电站）</t>
  </si>
  <si>
    <t>能源集团
国信特来电</t>
  </si>
  <si>
    <t>2025.04-2025.12</t>
  </si>
  <si>
    <t>预测IRR为4.5%</t>
  </si>
  <si>
    <t>德阳市新能源汽车充电桩建设项目</t>
  </si>
  <si>
    <t>2025年，能宇在德阳或成都周边建设1-2个优质充电站</t>
  </si>
  <si>
    <t>能源集团
能宇新能源</t>
  </si>
  <si>
    <t>大王庄地热发电项目</t>
  </si>
  <si>
    <r>
      <rPr>
        <sz val="16"/>
        <color theme="1"/>
        <rFont val="宋体"/>
        <charset val="134"/>
      </rPr>
      <t>在中石油大王庄油田内投资新建</t>
    </r>
    <r>
      <rPr>
        <sz val="16"/>
        <color theme="1"/>
        <rFont val="Times New Roman"/>
        <charset val="134"/>
      </rPr>
      <t>1</t>
    </r>
    <r>
      <rPr>
        <sz val="16"/>
        <color theme="1"/>
        <rFont val="宋体"/>
        <charset val="134"/>
      </rPr>
      <t>套</t>
    </r>
    <r>
      <rPr>
        <sz val="16"/>
        <color theme="1"/>
        <rFont val="Times New Roman"/>
        <charset val="134"/>
      </rPr>
      <t>1MW</t>
    </r>
    <r>
      <rPr>
        <sz val="16"/>
        <color theme="1"/>
        <rFont val="宋体"/>
        <charset val="134"/>
      </rPr>
      <t>地热发电系统，提供余热发电服务</t>
    </r>
  </si>
  <si>
    <t>能源集团
东能能源</t>
  </si>
  <si>
    <t>2025.01-2026.06</t>
  </si>
  <si>
    <r>
      <rPr>
        <sz val="16"/>
        <color theme="1"/>
        <rFont val="宋体"/>
        <charset val="134"/>
      </rPr>
      <t>预测</t>
    </r>
    <r>
      <rPr>
        <sz val="16"/>
        <color theme="1"/>
        <rFont val="Times New Roman"/>
        <charset val="134"/>
      </rPr>
      <t>IRR9.32%</t>
    </r>
  </si>
  <si>
    <t>德阳酱油中试基地搬迁扩产项目</t>
  </si>
  <si>
    <t>为稳步提升德阳酱油重建工作质效，调味食品公司计划搬迁中试基地，扩大产能，增加市场占有率，项目技术方案保留传统工艺优势与特色，引入现代生物工程技术和固态、稀态发酵装备，实现小规模现代化酱油生产。搬迁扩产后计划年产“德阳牌”酱油1000吨。</t>
  </si>
  <si>
    <t>商投集团
调味食品</t>
  </si>
  <si>
    <t>2025.05-2025.10</t>
  </si>
  <si>
    <t>预测IRR为14.35%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</si>
</sst>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s>
  <fonts count="46">
    <font>
      <sz val="11"/>
      <color theme="1"/>
      <name val="宋体"/>
      <charset val="134"/>
      <scheme val="minor"/>
    </font>
    <font>
      <sz val="16"/>
      <color theme="1"/>
      <name val="宋体"/>
      <charset val="134"/>
      <scheme val="minor"/>
    </font>
    <font>
      <sz val="20"/>
      <color theme="1"/>
      <name val="方正小标宋简体"/>
      <charset val="134"/>
    </font>
    <font>
      <sz val="16"/>
      <color theme="1"/>
      <name val="黑体"/>
      <charset val="134"/>
    </font>
    <font>
      <b/>
      <sz val="16"/>
      <name val="黑体"/>
      <charset val="134"/>
    </font>
    <font>
      <sz val="16"/>
      <color theme="1"/>
      <name val="宋体"/>
      <charset val="134"/>
    </font>
    <font>
      <sz val="16"/>
      <color theme="1"/>
      <name val="Times New Roman"/>
      <charset val="134"/>
    </font>
    <font>
      <sz val="16"/>
      <color rgb="FFFF0000"/>
      <name val="宋体"/>
      <charset val="134"/>
    </font>
    <font>
      <sz val="16"/>
      <color theme="1"/>
      <name val="宋体"/>
      <charset val="0"/>
    </font>
    <font>
      <sz val="16"/>
      <color theme="1"/>
      <name val="Times New Roman"/>
      <charset val="0"/>
    </font>
    <font>
      <sz val="16"/>
      <color theme="1"/>
      <name val="Arial"/>
      <charset val="134"/>
    </font>
    <font>
      <sz val="24"/>
      <color theme="1"/>
      <name val="宋体"/>
      <charset val="134"/>
      <scheme val="minor"/>
    </font>
    <font>
      <sz val="10"/>
      <color rgb="FF000000"/>
      <name val="宋体"/>
      <charset val="134"/>
    </font>
    <font>
      <sz val="10"/>
      <color rgb="FF000000"/>
      <name val="Times New Roman"/>
      <charset val="134"/>
    </font>
    <font>
      <sz val="10"/>
      <color theme="1"/>
      <name val="Times New Roman"/>
      <charset val="134"/>
    </font>
    <font>
      <sz val="11"/>
      <color rgb="FF000000"/>
      <name val="宋体"/>
      <charset val="134"/>
    </font>
    <font>
      <b/>
      <sz val="11"/>
      <color theme="1"/>
      <name val="宋体"/>
      <charset val="134"/>
      <scheme val="minor"/>
    </font>
    <font>
      <sz val="11"/>
      <color rgb="FF000000"/>
      <name val="Times New Roman"/>
      <charset val="134"/>
    </font>
    <font>
      <sz val="11"/>
      <color theme="1"/>
      <name val="Times New Roman"/>
      <charset val="134"/>
    </font>
    <font>
      <sz val="10.5"/>
      <color rgb="FF000000"/>
      <name val="宋体"/>
      <charset val="134"/>
    </font>
    <font>
      <sz val="10.5"/>
      <color theme="1"/>
      <name val="Times New Roman"/>
      <charset val="134"/>
    </font>
    <font>
      <sz val="10.5"/>
      <color rgb="FF000000"/>
      <name val="Times New Roman"/>
      <charset val="134"/>
    </font>
    <font>
      <b/>
      <sz val="16"/>
      <name val="Times New Roman"/>
      <charset val="134"/>
    </font>
    <font>
      <sz val="16"/>
      <name val="宋体"/>
      <charset val="134"/>
    </font>
    <font>
      <sz val="16"/>
      <name val="Times New Roman"/>
      <charset val="134"/>
    </font>
    <font>
      <sz val="16"/>
      <color rgb="FFFF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name val="宋体"/>
      <charset val="134"/>
    </font>
  </fonts>
  <fills count="35">
    <fill>
      <patternFill patternType="none"/>
    </fill>
    <fill>
      <patternFill patternType="gray125"/>
    </fill>
    <fill>
      <patternFill patternType="solid">
        <fgColor rgb="FF9BBB5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theme="4" tint="0.399975585192419"/>
      </top>
      <bottom style="thin">
        <color theme="4" tint="0.399975585192419"/>
      </bottom>
      <diagonal/>
    </border>
    <border>
      <left/>
      <right/>
      <top/>
      <bottom style="thin">
        <color theme="4" tint="0.399975585192419"/>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4" borderId="16"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7" applyNumberFormat="0" applyFill="0" applyAlignment="0" applyProtection="0">
      <alignment vertical="center"/>
    </xf>
    <xf numFmtId="0" fontId="32" fillId="0" borderId="17" applyNumberFormat="0" applyFill="0" applyAlignment="0" applyProtection="0">
      <alignment vertical="center"/>
    </xf>
    <xf numFmtId="0" fontId="33" fillId="0" borderId="18" applyNumberFormat="0" applyFill="0" applyAlignment="0" applyProtection="0">
      <alignment vertical="center"/>
    </xf>
    <xf numFmtId="0" fontId="33" fillId="0" borderId="0" applyNumberFormat="0" applyFill="0" applyBorder="0" applyAlignment="0" applyProtection="0">
      <alignment vertical="center"/>
    </xf>
    <xf numFmtId="0" fontId="34" fillId="5" borderId="19" applyNumberFormat="0" applyAlignment="0" applyProtection="0">
      <alignment vertical="center"/>
    </xf>
    <xf numFmtId="0" fontId="35" fillId="6" borderId="20" applyNumberFormat="0" applyAlignment="0" applyProtection="0">
      <alignment vertical="center"/>
    </xf>
    <xf numFmtId="0" fontId="36" fillId="6" borderId="19" applyNumberFormat="0" applyAlignment="0" applyProtection="0">
      <alignment vertical="center"/>
    </xf>
    <xf numFmtId="0" fontId="37" fillId="7" borderId="21" applyNumberFormat="0" applyAlignment="0" applyProtection="0">
      <alignment vertical="center"/>
    </xf>
    <xf numFmtId="0" fontId="38" fillId="0" borderId="22" applyNumberFormat="0" applyFill="0" applyAlignment="0" applyProtection="0">
      <alignment vertical="center"/>
    </xf>
    <xf numFmtId="0" fontId="39" fillId="0" borderId="23" applyNumberFormat="0" applyFill="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cellStyleXfs>
  <cellXfs count="100">
    <xf numFmtId="0" fontId="0" fillId="0" borderId="0" xfId="0">
      <alignment vertical="center"/>
    </xf>
    <xf numFmtId="0" fontId="0" fillId="0" borderId="0" xfId="0" applyFill="1">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2" borderId="1" xfId="0" applyFont="1" applyFill="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5"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6" xfId="0" applyFont="1" applyFill="1" applyBorder="1" applyAlignment="1">
      <alignment vertical="center" wrapText="1"/>
    </xf>
    <xf numFmtId="0" fontId="4" fillId="2" borderId="7" xfId="0" applyFont="1" applyFill="1" applyBorder="1" applyAlignment="1">
      <alignment vertical="center" wrapText="1"/>
    </xf>
    <xf numFmtId="0" fontId="4" fillId="2" borderId="8" xfId="0" applyFont="1" applyFill="1" applyBorder="1" applyAlignment="1">
      <alignment vertical="center" wrapText="1"/>
    </xf>
    <xf numFmtId="0" fontId="4" fillId="2" borderId="9" xfId="0" applyFont="1" applyFill="1" applyBorder="1" applyAlignment="1">
      <alignment vertical="center" wrapText="1"/>
    </xf>
    <xf numFmtId="0" fontId="5" fillId="0" borderId="1" xfId="0" applyFont="1" applyFill="1" applyBorder="1" applyAlignment="1" applyProtection="1">
      <alignment horizontal="center" vertical="center" wrapText="1"/>
    </xf>
    <xf numFmtId="0" fontId="5" fillId="0" borderId="1" xfId="0" applyFont="1" applyFill="1" applyBorder="1" applyAlignment="1" applyProtection="1">
      <alignment horizontal="left" vertical="center" wrapText="1"/>
    </xf>
    <xf numFmtId="0" fontId="5" fillId="0" borderId="1" xfId="0" applyFont="1" applyFill="1" applyBorder="1" applyAlignment="1">
      <alignment horizontal="center" vertical="center" wrapText="1"/>
    </xf>
    <xf numFmtId="176" fontId="5" fillId="0" borderId="1" xfId="0" applyNumberFormat="1" applyFont="1" applyFill="1" applyBorder="1" applyAlignment="1" applyProtection="1">
      <alignment horizontal="center" vertical="center" wrapText="1"/>
    </xf>
    <xf numFmtId="0" fontId="5" fillId="0" borderId="1" xfId="0" applyFont="1" applyFill="1" applyBorder="1" applyAlignment="1">
      <alignment vertical="center" wrapText="1"/>
    </xf>
    <xf numFmtId="0" fontId="5" fillId="0" borderId="1" xfId="0" applyFont="1" applyFill="1" applyBorder="1">
      <alignment vertical="center"/>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176" fontId="5"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7" fillId="3" borderId="1" xfId="0" applyFont="1" applyFill="1" applyBorder="1" applyAlignment="1" applyProtection="1">
      <alignment horizontal="center" vertical="center" wrapText="1"/>
    </xf>
    <xf numFmtId="176" fontId="7" fillId="3" borderId="1" xfId="0" applyNumberFormat="1" applyFont="1" applyFill="1" applyBorder="1" applyAlignment="1" applyProtection="1">
      <alignment horizontal="center" vertical="center" wrapText="1"/>
    </xf>
    <xf numFmtId="176" fontId="5" fillId="3" borderId="1" xfId="0" applyNumberFormat="1" applyFont="1" applyFill="1" applyBorder="1" applyAlignment="1" applyProtection="1">
      <alignment horizontal="center" vertical="center" wrapText="1"/>
    </xf>
    <xf numFmtId="176" fontId="5" fillId="3" borderId="1" xfId="0" applyNumberFormat="1" applyFont="1" applyFill="1" applyBorder="1" applyAlignment="1">
      <alignment horizontal="center" vertical="center"/>
    </xf>
    <xf numFmtId="0" fontId="8" fillId="0" borderId="1" xfId="0" applyFont="1" applyFill="1" applyBorder="1" applyAlignment="1" applyProtection="1">
      <alignment horizontal="center" vertical="center" wrapText="1"/>
    </xf>
    <xf numFmtId="176" fontId="8" fillId="0" borderId="1" xfId="0" applyNumberFormat="1" applyFont="1" applyFill="1" applyBorder="1" applyAlignment="1" applyProtection="1">
      <alignment horizontal="center" vertical="center" wrapText="1"/>
    </xf>
    <xf numFmtId="176" fontId="8" fillId="0" borderId="1" xfId="0" applyNumberFormat="1" applyFont="1" applyFill="1" applyBorder="1" applyAlignment="1">
      <alignment horizontal="center" vertical="center"/>
    </xf>
    <xf numFmtId="176"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176" fontId="6" fillId="0" borderId="1" xfId="0" applyNumberFormat="1"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176" fontId="6"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xf>
    <xf numFmtId="0" fontId="6" fillId="0" borderId="1" xfId="0" applyFont="1" applyFill="1" applyBorder="1" applyAlignment="1">
      <alignment vertical="center"/>
    </xf>
    <xf numFmtId="0" fontId="9" fillId="0" borderId="1" xfId="0" applyFont="1" applyFill="1" applyBorder="1" applyAlignment="1" applyProtection="1">
      <alignment horizontal="center" vertical="center" wrapText="1"/>
    </xf>
    <xf numFmtId="9" fontId="5"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5" fillId="0" borderId="1" xfId="0" applyNumberFormat="1" applyFont="1" applyFill="1" applyBorder="1" applyAlignment="1" applyProtection="1">
      <alignment horizontal="center" vertical="center" wrapText="1"/>
    </xf>
    <xf numFmtId="177" fontId="5" fillId="0" borderId="1" xfId="0" applyNumberFormat="1" applyFont="1" applyFill="1" applyBorder="1" applyAlignment="1">
      <alignment horizontal="center" vertical="center" wrapText="1"/>
    </xf>
    <xf numFmtId="177" fontId="5" fillId="0" borderId="1" xfId="0" applyNumberFormat="1" applyFont="1" applyFill="1" applyBorder="1" applyAlignment="1">
      <alignment horizontal="left" vertical="center" wrapText="1"/>
    </xf>
    <xf numFmtId="177" fontId="6" fillId="0" borderId="1" xfId="0" applyNumberFormat="1" applyFont="1" applyFill="1" applyBorder="1" applyAlignment="1">
      <alignment horizontal="center" vertical="center" wrapText="1"/>
    </xf>
    <xf numFmtId="10" fontId="5" fillId="0" borderId="1" xfId="0" applyNumberFormat="1" applyFont="1" applyFill="1" applyBorder="1" applyAlignment="1">
      <alignment horizontal="center" vertical="center" wrapText="1"/>
    </xf>
    <xf numFmtId="10" fontId="1" fillId="0" borderId="1" xfId="0" applyNumberFormat="1" applyFont="1" applyFill="1" applyBorder="1" applyAlignment="1">
      <alignment horizontal="center" vertical="center"/>
    </xf>
    <xf numFmtId="0" fontId="0" fillId="0" borderId="1" xfId="0" applyFont="1" applyFill="1" applyBorder="1">
      <alignment vertical="center"/>
    </xf>
    <xf numFmtId="0" fontId="1" fillId="0" borderId="1" xfId="0" applyFont="1" applyFill="1" applyBorder="1" applyAlignment="1">
      <alignment horizontal="center" vertical="center"/>
    </xf>
    <xf numFmtId="0" fontId="11" fillId="0" borderId="0" xfId="0" applyFont="1">
      <alignment vertical="center"/>
    </xf>
    <xf numFmtId="177" fontId="0" fillId="0" borderId="0" xfId="0" applyNumberFormat="1">
      <alignment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10" fontId="14"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0" xfId="0" applyFont="1" applyFill="1" applyBorder="1">
      <alignment vertical="center"/>
    </xf>
    <xf numFmtId="177" fontId="16" fillId="0" borderId="10" xfId="0" applyNumberFormat="1" applyFont="1" applyFill="1" applyBorder="1">
      <alignment vertical="center"/>
    </xf>
    <xf numFmtId="0" fontId="17" fillId="0" borderId="1" xfId="0" applyFont="1" applyBorder="1" applyAlignment="1">
      <alignment horizontal="center" vertical="center" wrapText="1"/>
    </xf>
    <xf numFmtId="10" fontId="18" fillId="0" borderId="1" xfId="0" applyNumberFormat="1" applyFont="1" applyBorder="1" applyAlignment="1">
      <alignment horizontal="center" vertical="center"/>
    </xf>
    <xf numFmtId="0" fontId="0" fillId="0" borderId="11" xfId="0" applyBorder="1">
      <alignment vertical="center"/>
    </xf>
    <xf numFmtId="177" fontId="0" fillId="0" borderId="11" xfId="0" applyNumberFormat="1" applyBorder="1">
      <alignment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177" fontId="0" fillId="0" borderId="1" xfId="0" applyNumberFormat="1" applyBorder="1">
      <alignment vertical="center"/>
    </xf>
    <xf numFmtId="0" fontId="20" fillId="0" borderId="1" xfId="0" applyFont="1" applyBorder="1" applyAlignment="1">
      <alignment horizontal="center" vertical="center"/>
    </xf>
    <xf numFmtId="0" fontId="21" fillId="0" borderId="1" xfId="0" applyFont="1" applyBorder="1" applyAlignment="1">
      <alignment horizontal="center" vertical="center" wrapText="1"/>
    </xf>
    <xf numFmtId="10" fontId="20" fillId="0" borderId="1" xfId="0" applyNumberFormat="1" applyFont="1" applyBorder="1" applyAlignment="1">
      <alignment horizontal="center" vertical="center"/>
    </xf>
    <xf numFmtId="177" fontId="0" fillId="0" borderId="11" xfId="0" applyNumberFormat="1" applyFont="1" applyBorder="1">
      <alignment vertical="center"/>
    </xf>
    <xf numFmtId="0" fontId="0" fillId="0" borderId="1" xfId="0" applyFont="1" applyBorder="1" applyAlignment="1">
      <alignment horizontal="center" vertical="center"/>
    </xf>
    <xf numFmtId="0" fontId="21" fillId="0" borderId="1" xfId="0" applyFont="1" applyBorder="1" applyAlignment="1">
      <alignment horizontal="center" vertical="center"/>
    </xf>
    <xf numFmtId="0" fontId="0" fillId="0" borderId="0" xfId="0"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4" fillId="2" borderId="2"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22" fillId="3" borderId="6"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22" fillId="3" borderId="15" xfId="0" applyFont="1" applyFill="1" applyBorder="1" applyAlignment="1">
      <alignment horizontal="center" vertical="center" wrapText="1"/>
    </xf>
    <xf numFmtId="0" fontId="1" fillId="0" borderId="1" xfId="0" applyFont="1" applyBorder="1" applyAlignment="1">
      <alignment horizontal="center" vertical="center" wrapText="1"/>
    </xf>
    <xf numFmtId="0" fontId="23"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24" fillId="0" borderId="1" xfId="0" applyFont="1" applyFill="1" applyBorder="1" applyAlignment="1">
      <alignment horizontal="left" vertical="center" wrapText="1"/>
    </xf>
    <xf numFmtId="177" fontId="24" fillId="0" borderId="1" xfId="0" applyNumberFormat="1" applyFont="1" applyFill="1" applyBorder="1" applyAlignment="1">
      <alignment horizontal="center" vertical="center" wrapText="1"/>
    </xf>
    <xf numFmtId="177" fontId="25" fillId="0" borderId="1"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9">
    <dxf>
      <numFmt numFmtId="177" formatCode="0.00_ "/>
    </dxf>
    <dxf>
      <numFmt numFmtId="177" formatCode="0.00_ "/>
    </dxf>
    <dxf>
      <numFmt numFmtId="177" formatCode="0.00_ "/>
    </dxf>
    <dxf>
      <numFmt numFmtId="177" formatCode="0.00_ "/>
    </dxf>
    <dxf>
      <numFmt numFmtId="177" formatCode="0.00_ "/>
    </dxf>
    <dxf>
      <numFmt numFmtId="177" formatCode="0.00_ "/>
    </dxf>
    <dxf>
      <numFmt numFmtId="177" formatCode="0.00_ "/>
    </dxf>
    <dxf>
      <numFmt numFmtId="177" formatCode="0.00_ "/>
    </dxf>
    <dxf>
      <numFmt numFmtId="177" formatCode="0.00_ "/>
    </dxf>
    <dxf>
      <numFmt numFmtId="177" formatCode="0.00_ "/>
    </dxf>
    <dxf>
      <numFmt numFmtId="177" formatCode="0.00_ "/>
    </dxf>
    <dxf>
      <numFmt numFmtId="177" formatCode="0.00_ "/>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28"/>
      <tableStyleElement type="totalRow" dxfId="27"/>
      <tableStyleElement type="firstRowStripe" dxfId="26"/>
      <tableStyleElement type="firstColumnStripe"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824.4402662037" refreshedBy="HP" recordCount="26">
  <cacheSource type="worksheet">
    <worksheetSource ref="A5:AE31" sheet="续投项目 (2)"/>
  </cacheSource>
  <cacheFields count="31">
    <cacheField name="序号" numFmtId="0">
      <sharedItems containsSemiMixedTypes="0" containsString="0" containsNumber="1" containsInteger="1" minValue="0" maxValue="17" count="17">
        <n v="1"/>
        <n v="2"/>
        <n v="3"/>
        <n v="4"/>
        <n v="5"/>
        <n v="6"/>
        <n v="7"/>
        <n v="8"/>
        <n v="9"/>
        <n v="10"/>
        <n v="11"/>
        <n v="12"/>
        <n v="13"/>
        <n v="14"/>
        <n v="15"/>
        <n v="16"/>
        <n v="17"/>
      </sharedItems>
    </cacheField>
    <cacheField name="项目名称" numFmtId="0">
      <sharedItems count="26">
        <s v="成德大道德罗项目示范段项目（省重点）"/>
        <s v="市域（郊）铁路成都至德阳线工程"/>
        <s v="市域(郊)铁路成都至德阳线德阳南站站房及综合交通枢纽配套设施项目"/>
        <s v="德阳站综合交通枢纽改造项目"/>
        <s v="长江上游石亭江段水利项目（已确认的子项目）"/>
        <s v="德阳市博物馆建设项目"/>
        <s v="金鑫片区（一期）城市更新项目"/>
        <s v="德阳市三星堆旅游环线（天府旌城连接线）建设项目"/>
        <s v="城区排水设施改造提升项目"/>
        <s v="公交南枢纽站建设项目"/>
        <s v="德阳市老年养护院项目"/>
        <s v="德阳市数字经济产业孵化园项目"/>
        <s v="四川广能能源有限公司高效清洁燃料气综合利用项目"/>
        <s v="德阳市经开区再生资源利用园区基础设施项目"/>
        <s v="无极污泥发电项目"/>
        <s v="德阳希尔顿逸林酒店（德阳保利国际城酒店、会展中心项目）"/>
        <s v="德阳市智能（光储充放）充电网络建设项目"/>
        <s v="川西现代粮食物流中心项目"/>
        <s v="备下料中心（一期）"/>
        <s v="金石租赁D轮增资项目"/>
        <s v="与重庆蓝洁合资组建净水剂生产公司和销售公司项目"/>
        <s v="德阳市30万吨年综合净水剂生产建设项目"/>
        <s v="国信特来电充电站项目"/>
        <s v="德阳市新能源汽车充电桩建设项目"/>
        <s v="大王庄地热发电项目"/>
        <s v="德阳酱油中试基地搬迁扩产项目"/>
      </sharedItems>
    </cacheField>
    <cacheField name="项目性质" numFmtId="0">
      <sharedItems count="2">
        <s v="功能性项目"/>
        <s v="商业性项目"/>
      </sharedItems>
    </cacheField>
    <cacheField name="投资时序" numFmtId="0">
      <sharedItems count="2">
        <s v="续投项目"/>
        <s v="新投项目"/>
      </sharedItems>
    </cacheField>
    <cacheField name="业主单位" numFmtId="0">
      <sharedItems count="9">
        <s v="发展集团"/>
        <s v="成德轨道"/>
        <s v="建工集团"/>
        <s v="城发集团"/>
        <s v="文旅集团"/>
        <s v="数发集团"/>
        <s v="产投集团"/>
        <s v="能源集团"/>
        <s v="商投集团"/>
      </sharedItems>
    </cacheField>
    <cacheField name="项目内容（建设内容）" numFmtId="0">
      <sharedItems count="26" longText="1">
        <s v="成德大道德罗项目示范段项目由德罗干线、罗江区连接线（含麓峰北路连接线）、白马关景区连接线三段组成，设计速度80km/h，双向6车道，线路全长21.861公里。"/>
        <s v="起于1号线韦家碾站，北止于西成高铁德阳北站；线路全长70.87km，设车站15座。"/>
        <s v="目前符合投向项目6个(最终项目建议可按照项目规划及融资需求适当调整)，总投资3.36亿元。项目位于天府旌城管委会管辖的德阳南站片区内，配套天鹤路(投资估算2000万元)、园区道路(投资估算1800万元)、公交首末站(总投资估算2560万元)、客运接驳站(总投资估算2520万元)、智慧停车场及充电站(总投资估算7900万元)、商业及配套设施(总投资估算10090万元)、二类费用(估算2530万元)、基本预备费(5%计取，约1600万元)、建设期利息(约2600万元)。"/>
        <s v="1.德阳站、S11线连通工程，含漓江西一路、漓江西二路工程，两条道路各长1300米，宽16米；_x000a_2.旌阳区长江流域可持续发展（沱江上游-绵远河段）综合治理项目-河西段工程（S11 线德阳站东侧商业配套设施、地下换乘大厅、换乘通道、停车场及相关配套工程）建筑面积13177.14㎡；_x000a_3.德阳站北侧道路连通及配套工程，包括钱塘江路工程（紫金山路至太行山路）及下穿宝成、西成客专道路及部分市政道路贯通工程；_x000a_4.文德湖商业广场工程，建筑面积109267.20㎡；_x000a_5.德阳站西侧旅客同侧候车项目工程，包括德阳站西站房及相关配套商业服务设施（含地上、地下建筑及广场建设），建筑面积9400㎡，其中新建跨线站房7900㎡，新建车站1500㎡。"/>
        <s v="主要建设内容为修建石亭江堤防 41.6KM、拦沙坝6处、留水堰10 处、闸坝5座、石亭江及其支流 106.8KM河道及沿线环境综合提升工程，新建提升泵站、供水站取水工程、输水管网及智慧管理平台建设、灌区末级渠系整治及灌区续建配套与节水改造、开展德阳智慧水利建设、建设水利数据应用中心、针对水污染防治的城区管网检测排查及修复工程等。"/>
        <s v="总建筑面积 4.46万平方米，主要修建博物馆、图书馆主体建筑及停车场、道路并完善周边附属设施建设。"/>
        <s v="金鑫片区（一期）范围为衡山路以东，祁连山路北段省建七公司以西、沱江路以南、嘉陵江路以北，总占地面积约2823亩。配合属地政府，对片区内的集体土地、国有土地进行征收，对土地上的房屋建筑、构筑物、树木苗圃等进行拆除、补偿，对原居民的安置、房屋、耕地等进行补偿。将土地整理后，交付给土地收储中心。"/>
        <s v="项目起于德阳市天府旌城规划道路锦屏山路交叉口，路线向西跨越规划成德大道北延线，路线继续向西跨越德阿公路，止于G350石亭江大桥桥头顺接石亭江大桥。主要建设内容为路基工程、路面工程、桥涵工程、路线交叉、交通安全及沿线设施、照明工程等；本项目项目路线长度2.684公里，荐按一级公路标准设计，设计速度80公里/小时，路基宽度33.5米。"/>
        <s v="项目内容：本项目分为三个标段_x000a_一标段：实施雨污混错接点位改造，新建和改造雨水管网约30公里，排涝沟渠内新增检查井、积沙池若干，建设及改造排涝沟渠（涵）约2公里，改造12座固定式排涝泵站；_x000a_二标段：对市中心城区约137个居民小区内排水系统进行排查，识别并改造瓶颈管段、雨污混错接点位、破损及功能失效设施；_x000a_三标段：在排涝沟渠关键节点安装液位计、雨量计等监测及数据传输设备若干，组建智慧化排水监控及调度系统。"/>
        <s v="占地约30亩，总建筑面积18003.29平方米，地上建筑面积 13885.58平方米，其中包含站房及辅助用房 9392.26平方米、配套用房4493.32平方米、地下停车库4117.71平方米（不计容面积）；建设停车场、充电桩、信息一体化平台、电子站牌、候车亭、各类设施设备等。"/>
        <s v="老年养护院装饰装修工程、设施设备采购安装、全院适老化改造、智慧化建设、德孝文化打造等内容。"/>
        <s v="建设市场监管、教育、社区、消防、工业互联网赋能中心、数据治理工程等领域行业智慧应用平台。"/>
        <s v="通过重整实现对四川广能的控制，完成设计年产能22万吨的LNG工厂续建工作。"/>
        <s v="在取得建设用地的前提下，建设再生资源循环利用高标准厂房5.4万平方米及配套；新建停车场0.41万平方米及配套；园区配套道路约5公里等。"/>
        <s v="主要建设项目内容：主厂房、污泥处理车间、综合楼、化水车间、水泵房、冷却塔以及配套设施，总建筑面积31726.47平方米,新建1套2000t/d入厂污泥处理量的干化装置（一期污泥处理量1300t/d，二期预留污泥处理量700t/d），新建2x35t/h中温中压循环流化床污泥焚烧锅炉+1x2.5MW背压式+1x3.5MW 抽凝式汽轮发电机组。"/>
        <s v="文舍酒店公司将以商品房买卖形式购买保利建成后的物业，并完成装饰装修设计、建筑施工总承包、装修施工、设施设备采购、运营筹备等工作以达到基础运营条件。"/>
        <s v="建设5座智能（光储充放）充电站、建设14座公共充电站。"/>
        <s v="项目总体分为两期，现阶段建设实施的为项目一期内容。一期内容具体为：实施粮食仓储、食用油罐及配套设施和总图工程。新建7.25万吨原粮仓库（二类粮库），其中浅圆仓5.25万吨，低温平房仓2万吨，食用油油罐4600吨，配套建设卸粮棚、工作塔（含电梯、变配电系统和动力配电系统）、仓间罩棚、油泵房、发油棚；配套建设机械库、检化验楼、倒班楼、一站式服务楼、消防泵房及水池、门卫等总平工程；太阳能光伏发电站及附属设施。二期规划浅圆仓6万吨、食用油罐1840吨和大米加工车间，未来根据公司南站库点区域城市更新进度具体情况再实施。"/>
        <s v="备下料中心（一期）按照具备30万吨产能的总体目标进行“总体规划、分步实施”。一是收购四川麒征土地厂房资产（2万平米，占地95亩），二是进行现有厂房改造及机器设备购买。本期建设目标具备2万吨产能，计划投资6000万元。瞄准链主企业及配套企业，开展钢板、管材的备下料、主机厂工序零部件等结构件制作；同时结合生产能力，逐步向桥梁、环保设备、水利行业、轻钢结构、厂房钢结构等行业的备下料、铆装焊业务发展。"/>
        <s v="金石租赁拟进行D轮增资，改善公司资本结构"/>
        <s v="组建两个合资公司。其中，合资组建生产公司作为德阳市30万吨年综合净水剂生产建设项目实施主体，公司注册资本2000万元，城发集团占股51%，出资1020万元。合资组建销售公司作为净水剂销售主体，公司注册资本100万元，城发集团占股49%，出资49万元。城发集团对组建两个合资公司合计总投资1069万元。"/>
        <s v="在取得建设用地的前提下，建设30万吨/年综合净水剂生产线，其中液体聚氯化铝生产线2条（10万t/a）、复合碳源生产线1条生产线（10万t/a）、聚氯化铝铁生产线（10万t/a）。"/>
        <s v="通过自投或合作共投模式建设新能源重卡充电站及智慧小区充电站项目（什邡雍湖小区智慧充电站）"/>
        <s v="2025年，能宇在德阳或成都周边建设1-2个优质充电站"/>
        <s v="在中石油大王庄油田内投资新建1套1MW地热发电系统，提供余热发电服务"/>
        <s v="为稳步提升德阳酱油重建工作质效，调味食品公司计划搬迁中试基地，扩大产能，增加市场占有率，项目技术方案保留传统工艺优势与特色，引入现代生物工程技术和固态、稀态发酵装备，实现小规模现代化酱油生产。搬迁扩产后计划年产“德阳牌”酱油1000吨。"/>
      </sharedItems>
    </cacheField>
    <cacheField name="实施主体" numFmtId="0">
      <sharedItems count="22">
        <s v="发展集团"/>
        <s v="成德轨道"/>
        <s v="建工集团"/>
        <s v="建工集团_x000a_国信建设"/>
        <s v="建工集团_x000a_润德城建_x000a_振兴发展"/>
        <s v="建工集团_x000a_德旌城建"/>
        <s v="城发集团_x000a_杰阳排水"/>
        <s v="城发集团_x000a_裕兴公交"/>
        <s v="文旅集团_x000a_银发健康"/>
        <s v="数发集团_x000a_产投数字"/>
        <s v="产投集团_x000a_四川广能"/>
        <s v="城发集团"/>
        <s v="城发集团_x000a_无极国惠"/>
        <s v="文旅集团_x000a_文舍酒店"/>
        <s v="能源集团_x000a_志飞腾"/>
        <s v="城发集团_x000a_省食油储备库"/>
        <s v="产投集团"/>
        <s v="城发集团、重庆蓝洁拟合资组建项目公司"/>
        <s v="能源集团_x000a_国信特来电"/>
        <s v="能源集团_x000a_能宇新能源"/>
        <s v="能源集团_x000a_东能能源"/>
        <s v="商投集团_x000a_调味食品"/>
      </sharedItems>
    </cacheField>
    <cacheField name="投资性质" numFmtId="0">
      <sharedItems count="3">
        <s v="固定资产投资"/>
        <s v="其他投资"/>
        <s v="股权投资"/>
      </sharedItems>
    </cacheField>
    <cacheField name="投资结构" numFmtId="0">
      <sharedItems count="4">
        <s v="基础设施类"/>
        <s v="生态环保类"/>
        <s v="民生和社会事业类"/>
        <s v="/"/>
      </sharedItems>
    </cacheField>
    <cacheField name="投资领域" numFmtId="0">
      <sharedItems count="6">
        <s v="/"/>
        <s v="材料化工"/>
        <s v="生态环保"/>
        <s v="打造美丽宜居德阳"/>
        <s v="装备制造"/>
        <s v="食品饮料"/>
      </sharedItems>
    </cacheField>
    <cacheField name="实施时间" numFmtId="0">
      <sharedItems count="25">
        <s v="2018.12-2025.09"/>
        <s v="2023.12-2027.12"/>
        <s v="2024.11-2029.11"/>
        <s v="2023.04-2027.12"/>
        <s v="2022.11-2027.11"/>
        <s v="2024.5-2026.5"/>
        <s v="2022.03-2025.12"/>
        <s v="2025.03-2026.02"/>
        <s v="2024.03-2025.03"/>
        <s v="2023.05-2025.06"/>
        <s v="2024.10-2025.10"/>
        <s v="2022.3-2026.12"/>
        <s v="2022.11-2025.12"/>
        <s v="2022.11-2026.10"/>
        <s v="2024.08-2026.06"/>
        <s v="2023.09-2026.02"/>
        <s v="2022.08-2025.09"/>
        <s v="2025.07-2027.06"/>
        <s v="2025.06-2026.12"/>
        <s v="2025.03-2025.08"/>
        <s v="2025.05-2025.12"/>
        <s v="2025.05-2026.08"/>
        <s v="2025.04-2025.12"/>
        <s v="2025.01-2026.06"/>
        <s v="2025.05-2025.10"/>
      </sharedItems>
    </cacheField>
    <cacheField name="计划总投资" numFmtId="0">
      <sharedItems containsSemiMixedTypes="0" containsString="0" containsNumber="1" minValue="0" maxValue="1650247.15341462" count="26">
        <n v="338090"/>
        <n v="1650247.15341462"/>
        <n v="33600"/>
        <n v="168000"/>
        <n v="210000"/>
        <n v="78050"/>
        <n v="212300"/>
        <n v="49900"/>
        <n v="14999"/>
        <n v="12917.25"/>
        <n v="1800"/>
        <n v="17306"/>
        <n v="18000"/>
        <n v="167774"/>
        <n v="66585"/>
        <n v="28700"/>
        <n v="15000"/>
        <n v="19239"/>
        <n v="6000"/>
        <n v="3506"/>
        <n v="1069"/>
        <n v="4910"/>
        <n v="18"/>
        <n v="185"/>
        <n v="1550.21"/>
        <n v="1200"/>
      </sharedItems>
    </cacheField>
    <cacheField name="中省资金" numFmtId="0">
      <sharedItems containsSemiMixedTypes="0" containsString="0" containsNumber="1" containsInteger="1" minValue="0" maxValue="4500" count="3">
        <n v="0"/>
        <n v="2140"/>
        <n v="4500"/>
      </sharedItems>
    </cacheField>
    <cacheField name="专项债/一般债" numFmtId="0">
      <sharedItems containsSemiMixedTypes="0" containsString="0" containsNumber="1" minValue="0" maxValue="593284" count="9">
        <n v="17319"/>
        <n v="593284"/>
        <n v="0"/>
        <n v="62000"/>
        <n v="40000"/>
        <n v="11314.25"/>
        <n v="7300"/>
        <n v="10500"/>
        <n v="10000"/>
      </sharedItems>
    </cacheField>
    <cacheField name="国债/基金" numFmtId="0">
      <sharedItems containsSemiMixedTypes="0" containsString="0" containsNumber="1" containsInteger="1" minValue="0" maxValue="86000" count="7">
        <n v="0"/>
        <n v="3360"/>
        <n v="16800"/>
        <n v="86000"/>
        <n v="11999"/>
        <n v="16777"/>
        <n v="1500"/>
      </sharedItems>
    </cacheField>
    <cacheField name="自有资金" numFmtId="0">
      <sharedItems containsSemiMixedTypes="0" containsString="0" containsNumber="1" minValue="0" maxValue="52300" count="20">
        <n v="0"/>
        <n v="3360"/>
        <n v="16800"/>
        <n v="16050"/>
        <n v="52300"/>
        <n v="1603"/>
        <n v="1570.51"/>
        <n v="18000"/>
        <n v="16777"/>
        <n v="13317"/>
        <n v="3000"/>
        <n v="4739"/>
        <n v="6000"/>
        <n v="3506"/>
        <n v="1069"/>
        <n v="1437"/>
        <n v="18"/>
        <n v="185"/>
        <n v="1550.21"/>
        <n v="240"/>
      </sharedItems>
    </cacheField>
    <cacheField name="融资资金" numFmtId="0">
      <sharedItems containsSemiMixedTypes="0" containsString="0" containsNumber="1" minValue="0" maxValue="396864.292048772" count="15">
        <n v="320771"/>
        <n v="396864.292048772"/>
        <n v="26880"/>
        <n v="134400"/>
        <n v="124000"/>
        <n v="0"/>
        <n v="160000"/>
        <n v="9900"/>
        <n v="1800"/>
        <n v="8435.49"/>
        <n v="132080"/>
        <n v="53268"/>
        <n v="28700"/>
        <n v="3473"/>
        <n v="960"/>
      </sharedItems>
    </cacheField>
    <cacheField name="其他资金" numFmtId="0">
      <sharedItems containsSemiMixedTypes="0" containsString="0" containsNumber="1" minValue="0" maxValue="660098.861365848" count="3">
        <n v="0"/>
        <n v="660098.861365848"/>
        <n v="3000"/>
      </sharedItems>
    </cacheField>
    <cacheField name="累计完成投资" numFmtId="0">
      <sharedItems containsSemiMixedTypes="0" containsString="0" containsNumber="1" minValue="0" maxValue="335771" count="18">
        <n v="335771"/>
        <n v="203540"/>
        <n v="150"/>
        <n v="66255"/>
        <n v="128459"/>
        <n v="16016.31"/>
        <n v="107232.272462"/>
        <n v="5238"/>
        <n v="5390"/>
        <n v="8043.7"/>
        <n v="1400"/>
        <n v="8870.51"/>
        <n v="15800"/>
        <n v="35529.7"/>
        <n v="9000.8"/>
        <n v="11380.52"/>
        <n v="10321"/>
        <n v="0"/>
      </sharedItems>
    </cacheField>
    <cacheField name="2025年计划投资" numFmtId="0">
      <sharedItems containsSemiMixedTypes="0" containsString="0" containsNumber="1" minValue="0" maxValue="200000" count="23">
        <n v="3000"/>
        <n v="200000"/>
        <n v="2000"/>
        <n v="15000"/>
        <n v="20000"/>
        <n v="40000"/>
        <n v="12000"/>
        <n v="6200"/>
        <n v="3580"/>
        <n v="400"/>
        <n v="2179"/>
        <n v="2200"/>
        <n v="9400"/>
        <n v="28329.5"/>
        <n v="4500"/>
        <n v="1000"/>
        <n v="5000"/>
        <n v="3506"/>
        <n v="1069"/>
        <n v="18"/>
        <n v="185"/>
        <n v="1300"/>
        <n v="1200"/>
      </sharedItems>
    </cacheField>
    <cacheField name="中省资金2" numFmtId="0">
      <sharedItems containsSemiMixedTypes="0" containsString="0" containsNumber="1" containsInteger="1" minValue="0" maxValue="0" count="1">
        <n v="0"/>
      </sharedItems>
    </cacheField>
    <cacheField name="专项债/一般债2" numFmtId="0">
      <sharedItems containsSemiMixedTypes="0" containsString="0" containsNumber="1" containsInteger="1" minValue="0" maxValue="72000" count="6">
        <n v="0"/>
        <n v="72000"/>
        <n v="40000"/>
        <n v="12000"/>
        <n v="3580"/>
        <n v="4500"/>
      </sharedItems>
    </cacheField>
    <cacheField name="国债/基金2" numFmtId="0">
      <sharedItems containsSemiMixedTypes="0" containsString="0" containsNumber="1" containsInteger="1" minValue="0" maxValue="14000" count="5">
        <n v="0"/>
        <n v="2000"/>
        <n v="14000"/>
        <n v="6200"/>
        <n v="4716"/>
      </sharedItems>
    </cacheField>
    <cacheField name="自有资金2" numFmtId="0">
      <sharedItems containsSemiMixedTypes="0" containsString="0" containsNumber="1" minValue="0" maxValue="15000" count="12">
        <n v="0"/>
        <n v="15000"/>
        <n v="500"/>
        <n v="2200"/>
        <n v="1695.5"/>
        <n v="1000"/>
        <n v="5000"/>
        <n v="3506"/>
        <n v="1069"/>
        <n v="18"/>
        <n v="1300"/>
        <n v="240"/>
      </sharedItems>
    </cacheField>
    <cacheField name="融资资金2" numFmtId="0">
      <sharedItems containsSemiMixedTypes="0" containsString="0" containsNumber="1" containsInteger="1" minValue="0" maxValue="48000" count="12">
        <n v="3000"/>
        <n v="48000"/>
        <n v="0"/>
        <n v="6000"/>
        <n v="1500"/>
        <n v="400"/>
        <n v="2179"/>
        <n v="4684"/>
        <n v="26634"/>
        <n v="12000"/>
        <n v="185"/>
        <n v="960"/>
      </sharedItems>
    </cacheField>
    <cacheField name="其他资金2" numFmtId="0">
      <sharedItems containsSemiMixedTypes="0" containsString="0" containsNumber="1" containsInteger="1" minValue="0" maxValue="80000" count="2">
        <n v="0"/>
        <n v="80000"/>
      </sharedItems>
    </cacheField>
    <cacheField name="投资预期收益" numFmtId="0">
      <sharedItems count="22">
        <s v="按照立项时《资金平衡方案》实现投资退出"/>
        <s v="通过票款收入、广通商等收入实现资金平衡"/>
        <s v="通过周边土地供应开发、服务区、广告牌位等收入，实现资金平衡"/>
        <s v="可利用物处置、农田灌溉、引水费等实现资金平衡（涉及各区县回购）"/>
        <s v="通过运营与租赁实现资金自平衡"/>
        <s v="城市更新收入优先对城市更新实施主体投入的成本进行覆盖。"/>
        <s v="该项目无收入，建设资金来源为市本级财政资金和2023年特别国债，可实现资金平衡。"/>
        <s v="通过停车场、交通枢纽、充电桩服务费等收益实现资金平衡。"/>
        <s v="预测IRR不低于5%"/>
        <s v="通过智慧教育运营、智慧社区服务、工业互联网赋能中心运营主要收入实现资金平衡。"/>
        <s v="预测IRR为3%"/>
        <s v="预测IRR为4.23%"/>
        <s v="预测IRR为4.6%"/>
        <s v="通过出售会展部分、收取租金、酒店运营实现资金平衡"/>
        <s v="年化收益率4.7%（按照原投资制度执行，不低于五年期国债收益率）"/>
        <s v="通过承担省市两级政府政策性粮食储备实现资金平衡。"/>
        <s v="预测IRR为3.7%"/>
        <s v="预测IRR为6.93%"/>
        <s v="预测IRR为4.22%"/>
        <s v="预测IRR为4.5%"/>
        <s v="预测IRR9.32%"/>
        <s v="预测IRR为14.35%"/>
      </sharedItems>
    </cacheField>
    <cacheField name="主业" numFmtId="0">
      <sharedItems count="1">
        <s v="√"/>
      </sharedItems>
    </cacheField>
    <cacheField name="非主业" numFmtId="0">
      <sharedItems containsString="0" containsBlank="1" containsNonDate="0" count="1">
        <m/>
      </sharedItems>
    </cacheField>
    <cacheField name="培育业" numFmtId="0">
      <sharedItems containsString="0" containsBlank="1" containsNonDate="0" count="1">
        <m/>
      </sharedItems>
    </cacheField>
    <cacheField name="区域" numFmtId="0">
      <sharedItems count="2">
        <s v="市内"/>
        <s v="市外"/>
      </sharedItems>
    </cacheField>
  </cacheFields>
</pivotCacheDefinition>
</file>

<file path=xl/pivotCache/pivotCacheRecords1.xml><?xml version="1.0" encoding="utf-8"?>
<pivotCacheRecords xmlns="http://schemas.openxmlformats.org/spreadsheetml/2006/main" xmlns:r="http://schemas.openxmlformats.org/officeDocument/2006/relationships" count="26">
  <r>
    <x v="0"/>
    <x v="0"/>
    <x v="0"/>
    <x v="0"/>
    <x v="0"/>
    <x v="0"/>
    <x v="0"/>
    <x v="0"/>
    <x v="0"/>
    <x v="0"/>
    <x v="0"/>
    <x v="0"/>
    <x v="0"/>
    <x v="0"/>
    <x v="0"/>
    <x v="0"/>
    <x v="0"/>
    <x v="0"/>
    <x v="0"/>
    <x v="0"/>
    <x v="0"/>
    <x v="0"/>
    <x v="0"/>
    <x v="0"/>
    <x v="0"/>
    <x v="0"/>
    <x v="0"/>
    <x v="0"/>
    <x v="0"/>
    <x v="0"/>
    <x v="0"/>
  </r>
  <r>
    <x v="1"/>
    <x v="1"/>
    <x v="0"/>
    <x v="0"/>
    <x v="1"/>
    <x v="1"/>
    <x v="1"/>
    <x v="0"/>
    <x v="0"/>
    <x v="0"/>
    <x v="1"/>
    <x v="1"/>
    <x v="0"/>
    <x v="1"/>
    <x v="0"/>
    <x v="0"/>
    <x v="1"/>
    <x v="1"/>
    <x v="1"/>
    <x v="1"/>
    <x v="0"/>
    <x v="1"/>
    <x v="0"/>
    <x v="0"/>
    <x v="1"/>
    <x v="1"/>
    <x v="1"/>
    <x v="0"/>
    <x v="0"/>
    <x v="0"/>
    <x v="0"/>
  </r>
  <r>
    <x v="2"/>
    <x v="2"/>
    <x v="0"/>
    <x v="0"/>
    <x v="2"/>
    <x v="2"/>
    <x v="2"/>
    <x v="0"/>
    <x v="0"/>
    <x v="0"/>
    <x v="2"/>
    <x v="2"/>
    <x v="0"/>
    <x v="2"/>
    <x v="1"/>
    <x v="1"/>
    <x v="2"/>
    <x v="0"/>
    <x v="2"/>
    <x v="2"/>
    <x v="0"/>
    <x v="0"/>
    <x v="1"/>
    <x v="0"/>
    <x v="2"/>
    <x v="0"/>
    <x v="2"/>
    <x v="0"/>
    <x v="0"/>
    <x v="0"/>
    <x v="0"/>
  </r>
  <r>
    <x v="3"/>
    <x v="3"/>
    <x v="0"/>
    <x v="0"/>
    <x v="2"/>
    <x v="3"/>
    <x v="2"/>
    <x v="0"/>
    <x v="0"/>
    <x v="0"/>
    <x v="3"/>
    <x v="3"/>
    <x v="0"/>
    <x v="2"/>
    <x v="2"/>
    <x v="2"/>
    <x v="3"/>
    <x v="0"/>
    <x v="3"/>
    <x v="3"/>
    <x v="0"/>
    <x v="0"/>
    <x v="0"/>
    <x v="1"/>
    <x v="2"/>
    <x v="0"/>
    <x v="2"/>
    <x v="0"/>
    <x v="0"/>
    <x v="0"/>
    <x v="0"/>
  </r>
  <r>
    <x v="4"/>
    <x v="4"/>
    <x v="0"/>
    <x v="0"/>
    <x v="2"/>
    <x v="4"/>
    <x v="3"/>
    <x v="0"/>
    <x v="1"/>
    <x v="0"/>
    <x v="4"/>
    <x v="4"/>
    <x v="0"/>
    <x v="2"/>
    <x v="3"/>
    <x v="0"/>
    <x v="4"/>
    <x v="0"/>
    <x v="4"/>
    <x v="4"/>
    <x v="0"/>
    <x v="0"/>
    <x v="2"/>
    <x v="0"/>
    <x v="3"/>
    <x v="0"/>
    <x v="3"/>
    <x v="0"/>
    <x v="0"/>
    <x v="0"/>
    <x v="0"/>
  </r>
  <r>
    <x v="5"/>
    <x v="5"/>
    <x v="0"/>
    <x v="0"/>
    <x v="2"/>
    <x v="5"/>
    <x v="2"/>
    <x v="0"/>
    <x v="2"/>
    <x v="0"/>
    <x v="5"/>
    <x v="5"/>
    <x v="0"/>
    <x v="3"/>
    <x v="0"/>
    <x v="3"/>
    <x v="5"/>
    <x v="0"/>
    <x v="5"/>
    <x v="5"/>
    <x v="0"/>
    <x v="2"/>
    <x v="0"/>
    <x v="0"/>
    <x v="2"/>
    <x v="0"/>
    <x v="4"/>
    <x v="0"/>
    <x v="0"/>
    <x v="0"/>
    <x v="0"/>
  </r>
  <r>
    <x v="6"/>
    <x v="6"/>
    <x v="0"/>
    <x v="0"/>
    <x v="2"/>
    <x v="6"/>
    <x v="4"/>
    <x v="1"/>
    <x v="2"/>
    <x v="0"/>
    <x v="6"/>
    <x v="6"/>
    <x v="0"/>
    <x v="2"/>
    <x v="0"/>
    <x v="4"/>
    <x v="6"/>
    <x v="0"/>
    <x v="6"/>
    <x v="2"/>
    <x v="0"/>
    <x v="0"/>
    <x v="0"/>
    <x v="2"/>
    <x v="4"/>
    <x v="0"/>
    <x v="5"/>
    <x v="0"/>
    <x v="0"/>
    <x v="0"/>
    <x v="0"/>
  </r>
  <r>
    <x v="7"/>
    <x v="7"/>
    <x v="0"/>
    <x v="0"/>
    <x v="2"/>
    <x v="7"/>
    <x v="5"/>
    <x v="0"/>
    <x v="0"/>
    <x v="0"/>
    <x v="7"/>
    <x v="7"/>
    <x v="0"/>
    <x v="4"/>
    <x v="0"/>
    <x v="0"/>
    <x v="7"/>
    <x v="0"/>
    <x v="7"/>
    <x v="6"/>
    <x v="0"/>
    <x v="3"/>
    <x v="0"/>
    <x v="0"/>
    <x v="2"/>
    <x v="0"/>
    <x v="2"/>
    <x v="0"/>
    <x v="0"/>
    <x v="0"/>
    <x v="0"/>
  </r>
  <r>
    <x v="8"/>
    <x v="8"/>
    <x v="0"/>
    <x v="0"/>
    <x v="3"/>
    <x v="8"/>
    <x v="6"/>
    <x v="0"/>
    <x v="0"/>
    <x v="0"/>
    <x v="8"/>
    <x v="8"/>
    <x v="0"/>
    <x v="2"/>
    <x v="4"/>
    <x v="0"/>
    <x v="5"/>
    <x v="2"/>
    <x v="8"/>
    <x v="7"/>
    <x v="0"/>
    <x v="0"/>
    <x v="3"/>
    <x v="0"/>
    <x v="2"/>
    <x v="0"/>
    <x v="6"/>
    <x v="0"/>
    <x v="0"/>
    <x v="0"/>
    <x v="0"/>
  </r>
  <r>
    <x v="9"/>
    <x v="9"/>
    <x v="0"/>
    <x v="0"/>
    <x v="3"/>
    <x v="9"/>
    <x v="7"/>
    <x v="0"/>
    <x v="2"/>
    <x v="0"/>
    <x v="9"/>
    <x v="9"/>
    <x v="0"/>
    <x v="5"/>
    <x v="0"/>
    <x v="5"/>
    <x v="5"/>
    <x v="0"/>
    <x v="9"/>
    <x v="8"/>
    <x v="0"/>
    <x v="4"/>
    <x v="0"/>
    <x v="0"/>
    <x v="2"/>
    <x v="0"/>
    <x v="7"/>
    <x v="0"/>
    <x v="0"/>
    <x v="0"/>
    <x v="0"/>
  </r>
  <r>
    <x v="10"/>
    <x v="10"/>
    <x v="0"/>
    <x v="0"/>
    <x v="4"/>
    <x v="10"/>
    <x v="8"/>
    <x v="0"/>
    <x v="2"/>
    <x v="0"/>
    <x v="10"/>
    <x v="10"/>
    <x v="0"/>
    <x v="2"/>
    <x v="0"/>
    <x v="0"/>
    <x v="8"/>
    <x v="0"/>
    <x v="10"/>
    <x v="9"/>
    <x v="0"/>
    <x v="0"/>
    <x v="0"/>
    <x v="0"/>
    <x v="5"/>
    <x v="0"/>
    <x v="8"/>
    <x v="0"/>
    <x v="0"/>
    <x v="0"/>
    <x v="0"/>
  </r>
  <r>
    <x v="11"/>
    <x v="11"/>
    <x v="0"/>
    <x v="0"/>
    <x v="5"/>
    <x v="11"/>
    <x v="9"/>
    <x v="0"/>
    <x v="0"/>
    <x v="0"/>
    <x v="11"/>
    <x v="11"/>
    <x v="0"/>
    <x v="6"/>
    <x v="0"/>
    <x v="6"/>
    <x v="9"/>
    <x v="0"/>
    <x v="11"/>
    <x v="10"/>
    <x v="0"/>
    <x v="0"/>
    <x v="0"/>
    <x v="0"/>
    <x v="6"/>
    <x v="0"/>
    <x v="9"/>
    <x v="0"/>
    <x v="0"/>
    <x v="0"/>
    <x v="0"/>
  </r>
  <r>
    <x v="12"/>
    <x v="12"/>
    <x v="1"/>
    <x v="0"/>
    <x v="6"/>
    <x v="12"/>
    <x v="10"/>
    <x v="0"/>
    <x v="3"/>
    <x v="1"/>
    <x v="12"/>
    <x v="12"/>
    <x v="0"/>
    <x v="2"/>
    <x v="0"/>
    <x v="7"/>
    <x v="5"/>
    <x v="0"/>
    <x v="12"/>
    <x v="11"/>
    <x v="0"/>
    <x v="0"/>
    <x v="0"/>
    <x v="3"/>
    <x v="2"/>
    <x v="0"/>
    <x v="10"/>
    <x v="0"/>
    <x v="0"/>
    <x v="0"/>
    <x v="0"/>
  </r>
  <r>
    <x v="13"/>
    <x v="13"/>
    <x v="1"/>
    <x v="0"/>
    <x v="3"/>
    <x v="13"/>
    <x v="11"/>
    <x v="0"/>
    <x v="3"/>
    <x v="2"/>
    <x v="13"/>
    <x v="13"/>
    <x v="1"/>
    <x v="2"/>
    <x v="5"/>
    <x v="8"/>
    <x v="10"/>
    <x v="0"/>
    <x v="13"/>
    <x v="12"/>
    <x v="0"/>
    <x v="0"/>
    <x v="4"/>
    <x v="0"/>
    <x v="7"/>
    <x v="0"/>
    <x v="11"/>
    <x v="0"/>
    <x v="0"/>
    <x v="0"/>
    <x v="0"/>
  </r>
  <r>
    <x v="14"/>
    <x v="14"/>
    <x v="1"/>
    <x v="0"/>
    <x v="3"/>
    <x v="14"/>
    <x v="12"/>
    <x v="0"/>
    <x v="3"/>
    <x v="2"/>
    <x v="14"/>
    <x v="14"/>
    <x v="0"/>
    <x v="2"/>
    <x v="0"/>
    <x v="9"/>
    <x v="11"/>
    <x v="0"/>
    <x v="14"/>
    <x v="13"/>
    <x v="0"/>
    <x v="0"/>
    <x v="0"/>
    <x v="4"/>
    <x v="8"/>
    <x v="0"/>
    <x v="12"/>
    <x v="0"/>
    <x v="0"/>
    <x v="0"/>
    <x v="1"/>
  </r>
  <r>
    <x v="15"/>
    <x v="15"/>
    <x v="1"/>
    <x v="0"/>
    <x v="4"/>
    <x v="15"/>
    <x v="13"/>
    <x v="0"/>
    <x v="3"/>
    <x v="3"/>
    <x v="15"/>
    <x v="15"/>
    <x v="0"/>
    <x v="2"/>
    <x v="0"/>
    <x v="0"/>
    <x v="12"/>
    <x v="0"/>
    <x v="15"/>
    <x v="6"/>
    <x v="0"/>
    <x v="0"/>
    <x v="0"/>
    <x v="0"/>
    <x v="9"/>
    <x v="0"/>
    <x v="13"/>
    <x v="0"/>
    <x v="0"/>
    <x v="0"/>
    <x v="0"/>
  </r>
  <r>
    <x v="16"/>
    <x v="16"/>
    <x v="1"/>
    <x v="0"/>
    <x v="7"/>
    <x v="16"/>
    <x v="14"/>
    <x v="0"/>
    <x v="3"/>
    <x v="2"/>
    <x v="16"/>
    <x v="16"/>
    <x v="0"/>
    <x v="7"/>
    <x v="6"/>
    <x v="10"/>
    <x v="5"/>
    <x v="0"/>
    <x v="16"/>
    <x v="14"/>
    <x v="0"/>
    <x v="5"/>
    <x v="0"/>
    <x v="0"/>
    <x v="2"/>
    <x v="0"/>
    <x v="14"/>
    <x v="0"/>
    <x v="0"/>
    <x v="0"/>
    <x v="0"/>
  </r>
  <r>
    <x v="0"/>
    <x v="17"/>
    <x v="0"/>
    <x v="1"/>
    <x v="3"/>
    <x v="17"/>
    <x v="15"/>
    <x v="0"/>
    <x v="2"/>
    <x v="0"/>
    <x v="17"/>
    <x v="17"/>
    <x v="2"/>
    <x v="8"/>
    <x v="0"/>
    <x v="11"/>
    <x v="5"/>
    <x v="0"/>
    <x v="17"/>
    <x v="15"/>
    <x v="0"/>
    <x v="0"/>
    <x v="0"/>
    <x v="5"/>
    <x v="2"/>
    <x v="0"/>
    <x v="15"/>
    <x v="0"/>
    <x v="0"/>
    <x v="0"/>
    <x v="0"/>
  </r>
  <r>
    <x v="1"/>
    <x v="18"/>
    <x v="1"/>
    <x v="1"/>
    <x v="6"/>
    <x v="18"/>
    <x v="16"/>
    <x v="0"/>
    <x v="3"/>
    <x v="4"/>
    <x v="18"/>
    <x v="18"/>
    <x v="0"/>
    <x v="2"/>
    <x v="0"/>
    <x v="12"/>
    <x v="5"/>
    <x v="0"/>
    <x v="17"/>
    <x v="16"/>
    <x v="0"/>
    <x v="0"/>
    <x v="0"/>
    <x v="6"/>
    <x v="2"/>
    <x v="0"/>
    <x v="16"/>
    <x v="0"/>
    <x v="0"/>
    <x v="0"/>
    <x v="0"/>
  </r>
  <r>
    <x v="2"/>
    <x v="19"/>
    <x v="1"/>
    <x v="1"/>
    <x v="6"/>
    <x v="19"/>
    <x v="16"/>
    <x v="2"/>
    <x v="3"/>
    <x v="3"/>
    <x v="19"/>
    <x v="19"/>
    <x v="0"/>
    <x v="2"/>
    <x v="0"/>
    <x v="13"/>
    <x v="5"/>
    <x v="0"/>
    <x v="17"/>
    <x v="17"/>
    <x v="0"/>
    <x v="0"/>
    <x v="0"/>
    <x v="7"/>
    <x v="2"/>
    <x v="0"/>
    <x v="17"/>
    <x v="0"/>
    <x v="0"/>
    <x v="0"/>
    <x v="1"/>
  </r>
  <r>
    <x v="3"/>
    <x v="20"/>
    <x v="1"/>
    <x v="1"/>
    <x v="3"/>
    <x v="20"/>
    <x v="11"/>
    <x v="2"/>
    <x v="3"/>
    <x v="2"/>
    <x v="20"/>
    <x v="20"/>
    <x v="0"/>
    <x v="2"/>
    <x v="0"/>
    <x v="14"/>
    <x v="5"/>
    <x v="0"/>
    <x v="17"/>
    <x v="18"/>
    <x v="0"/>
    <x v="0"/>
    <x v="0"/>
    <x v="8"/>
    <x v="2"/>
    <x v="0"/>
    <x v="11"/>
    <x v="0"/>
    <x v="0"/>
    <x v="0"/>
    <x v="0"/>
  </r>
  <r>
    <x v="4"/>
    <x v="21"/>
    <x v="1"/>
    <x v="1"/>
    <x v="3"/>
    <x v="21"/>
    <x v="17"/>
    <x v="0"/>
    <x v="3"/>
    <x v="2"/>
    <x v="21"/>
    <x v="21"/>
    <x v="0"/>
    <x v="2"/>
    <x v="0"/>
    <x v="15"/>
    <x v="13"/>
    <x v="0"/>
    <x v="17"/>
    <x v="15"/>
    <x v="0"/>
    <x v="0"/>
    <x v="0"/>
    <x v="5"/>
    <x v="2"/>
    <x v="0"/>
    <x v="18"/>
    <x v="0"/>
    <x v="0"/>
    <x v="0"/>
    <x v="0"/>
  </r>
  <r>
    <x v="5"/>
    <x v="22"/>
    <x v="1"/>
    <x v="1"/>
    <x v="7"/>
    <x v="22"/>
    <x v="18"/>
    <x v="0"/>
    <x v="3"/>
    <x v="2"/>
    <x v="22"/>
    <x v="22"/>
    <x v="0"/>
    <x v="2"/>
    <x v="0"/>
    <x v="16"/>
    <x v="5"/>
    <x v="0"/>
    <x v="17"/>
    <x v="19"/>
    <x v="0"/>
    <x v="0"/>
    <x v="0"/>
    <x v="9"/>
    <x v="2"/>
    <x v="0"/>
    <x v="19"/>
    <x v="0"/>
    <x v="0"/>
    <x v="0"/>
    <x v="0"/>
  </r>
  <r>
    <x v="6"/>
    <x v="23"/>
    <x v="1"/>
    <x v="1"/>
    <x v="7"/>
    <x v="23"/>
    <x v="19"/>
    <x v="0"/>
    <x v="3"/>
    <x v="2"/>
    <x v="22"/>
    <x v="23"/>
    <x v="0"/>
    <x v="2"/>
    <x v="0"/>
    <x v="17"/>
    <x v="5"/>
    <x v="0"/>
    <x v="17"/>
    <x v="20"/>
    <x v="0"/>
    <x v="0"/>
    <x v="0"/>
    <x v="0"/>
    <x v="10"/>
    <x v="0"/>
    <x v="19"/>
    <x v="0"/>
    <x v="0"/>
    <x v="0"/>
    <x v="0"/>
  </r>
  <r>
    <x v="7"/>
    <x v="24"/>
    <x v="1"/>
    <x v="1"/>
    <x v="7"/>
    <x v="24"/>
    <x v="20"/>
    <x v="0"/>
    <x v="3"/>
    <x v="2"/>
    <x v="23"/>
    <x v="24"/>
    <x v="0"/>
    <x v="2"/>
    <x v="0"/>
    <x v="18"/>
    <x v="5"/>
    <x v="0"/>
    <x v="17"/>
    <x v="21"/>
    <x v="0"/>
    <x v="0"/>
    <x v="0"/>
    <x v="10"/>
    <x v="2"/>
    <x v="0"/>
    <x v="20"/>
    <x v="0"/>
    <x v="0"/>
    <x v="0"/>
    <x v="1"/>
  </r>
  <r>
    <x v="8"/>
    <x v="25"/>
    <x v="1"/>
    <x v="1"/>
    <x v="8"/>
    <x v="25"/>
    <x v="21"/>
    <x v="0"/>
    <x v="3"/>
    <x v="5"/>
    <x v="24"/>
    <x v="25"/>
    <x v="0"/>
    <x v="2"/>
    <x v="0"/>
    <x v="19"/>
    <x v="14"/>
    <x v="0"/>
    <x v="17"/>
    <x v="22"/>
    <x v="0"/>
    <x v="0"/>
    <x v="0"/>
    <x v="11"/>
    <x v="11"/>
    <x v="0"/>
    <x v="21"/>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D13" firstHeaderRow="0" firstDataRow="1" firstDataCol="1"/>
  <pivotFields count="31">
    <pivotField compact="0" showAll="0">
      <items count="18">
        <item x="0"/>
        <item x="1"/>
        <item x="2"/>
        <item x="3"/>
        <item x="4"/>
        <item x="5"/>
        <item x="6"/>
        <item x="7"/>
        <item x="8"/>
        <item x="9"/>
        <item x="10"/>
        <item x="11"/>
        <item x="12"/>
        <item x="13"/>
        <item x="14"/>
        <item x="15"/>
        <item x="16"/>
        <item t="default"/>
      </items>
    </pivotField>
    <pivotField dataField="1" compact="0" showAll="0">
      <items count="27">
        <item x="0"/>
        <item x="8"/>
        <item x="17"/>
        <item x="24"/>
        <item x="21"/>
        <item x="5"/>
        <item x="13"/>
        <item x="10"/>
        <item x="7"/>
        <item x="11"/>
        <item x="23"/>
        <item x="16"/>
        <item x="15"/>
        <item x="3"/>
        <item x="9"/>
        <item x="22"/>
        <item x="19"/>
        <item x="6"/>
        <item x="2"/>
        <item x="1"/>
        <item x="12"/>
        <item x="14"/>
        <item x="20"/>
        <item x="18"/>
        <item x="25"/>
        <item x="4"/>
        <item t="default"/>
      </items>
    </pivotField>
    <pivotField compact="0" showAll="0">
      <items count="3">
        <item x="0"/>
        <item x="1"/>
        <item t="default"/>
      </items>
    </pivotField>
    <pivotField compact="0" showAll="0">
      <items count="3">
        <item x="1"/>
        <item x="0"/>
        <item t="default"/>
      </items>
    </pivotField>
    <pivotField axis="axisRow" compact="0" showAll="0">
      <items count="10">
        <item x="0"/>
        <item x="6"/>
        <item x="2"/>
        <item x="3"/>
        <item x="4"/>
        <item x="7"/>
        <item x="8"/>
        <item x="1"/>
        <item x="5"/>
        <item t="default"/>
      </items>
    </pivotField>
    <pivotField compact="0" showAll="0">
      <items count="27">
        <item x="3"/>
        <item x="16"/>
        <item x="11"/>
        <item x="19"/>
        <item x="6"/>
        <item x="10"/>
        <item x="1"/>
        <item x="12"/>
        <item x="22"/>
        <item x="8"/>
        <item x="7"/>
        <item x="21"/>
        <item x="13"/>
        <item x="24"/>
        <item x="9"/>
        <item x="4"/>
        <item x="14"/>
        <item x="5"/>
        <item x="20"/>
        <item x="0"/>
        <item x="2"/>
        <item x="15"/>
        <item x="17"/>
        <item x="18"/>
        <item x="23"/>
        <item x="25"/>
        <item t="default"/>
      </items>
    </pivotField>
    <pivotField compact="0" showAll="0">
      <items count="23">
        <item x="16"/>
        <item x="10"/>
        <item x="1"/>
        <item x="11"/>
        <item x="6"/>
        <item x="15"/>
        <item x="12"/>
        <item x="7"/>
        <item x="17"/>
        <item x="0"/>
        <item x="2"/>
        <item x="5"/>
        <item x="3"/>
        <item x="4"/>
        <item x="20"/>
        <item x="18"/>
        <item x="19"/>
        <item x="14"/>
        <item x="9"/>
        <item x="13"/>
        <item x="8"/>
        <item x="21"/>
        <item t="default"/>
      </items>
    </pivotField>
    <pivotField compact="0" showAll="0">
      <items count="4">
        <item x="2"/>
        <item x="0"/>
        <item x="1"/>
        <item t="default"/>
      </items>
    </pivotField>
    <pivotField compact="0" showAll="0">
      <items count="5">
        <item x="3"/>
        <item x="0"/>
        <item x="2"/>
        <item x="1"/>
        <item t="default"/>
      </items>
    </pivotField>
    <pivotField compact="0" showAll="0">
      <items count="7">
        <item x="0"/>
        <item x="1"/>
        <item x="3"/>
        <item x="2"/>
        <item x="4"/>
        <item x="5"/>
        <item t="default"/>
      </items>
    </pivotField>
    <pivotField compact="0" showAll="0">
      <items count="26">
        <item x="6"/>
        <item x="16"/>
        <item x="13"/>
        <item x="4"/>
        <item x="3"/>
        <item x="9"/>
        <item x="1"/>
        <item x="8"/>
        <item x="14"/>
        <item x="2"/>
        <item x="5"/>
        <item x="19"/>
        <item x="7"/>
        <item x="22"/>
        <item x="20"/>
        <item x="21"/>
        <item x="0"/>
        <item x="10"/>
        <item x="11"/>
        <item x="12"/>
        <item x="17"/>
        <item x="18"/>
        <item x="23"/>
        <item x="15"/>
        <item x="24"/>
        <item t="default"/>
      </items>
    </pivotField>
    <pivotField dataField="1" compact="0" showAll="0">
      <items count="27">
        <item x="20"/>
        <item x="24"/>
        <item x="10"/>
        <item x="21"/>
        <item x="9"/>
        <item x="8"/>
        <item x="16"/>
        <item x="11"/>
        <item x="12"/>
        <item x="15"/>
        <item x="2"/>
        <item x="7"/>
        <item x="14"/>
        <item x="5"/>
        <item x="13"/>
        <item x="3"/>
        <item x="6"/>
        <item x="0"/>
        <item x="1"/>
        <item x="17"/>
        <item x="18"/>
        <item x="19"/>
        <item x="22"/>
        <item x="23"/>
        <item x="25"/>
        <item x="4"/>
        <item t="default"/>
      </items>
    </pivotField>
    <pivotField compact="0" showAll="0">
      <items count="4">
        <item x="0"/>
        <item x="1"/>
        <item x="2"/>
        <item t="default"/>
      </items>
    </pivotField>
    <pivotField compact="0" showAll="0">
      <items count="10">
        <item x="2"/>
        <item x="6"/>
        <item x="7"/>
        <item x="5"/>
        <item x="0"/>
        <item x="3"/>
        <item x="1"/>
        <item x="4"/>
        <item x="8"/>
        <item t="default"/>
      </items>
    </pivotField>
    <pivotField compact="0" showAll="0">
      <items count="8">
        <item x="0"/>
        <item x="6"/>
        <item x="1"/>
        <item x="4"/>
        <item x="5"/>
        <item x="2"/>
        <item x="3"/>
        <item t="default"/>
      </items>
    </pivotField>
    <pivotField compact="0" showAll="0">
      <items count="21">
        <item x="0"/>
        <item x="14"/>
        <item x="15"/>
        <item x="6"/>
        <item x="5"/>
        <item x="10"/>
        <item x="1"/>
        <item x="9"/>
        <item x="3"/>
        <item x="8"/>
        <item x="2"/>
        <item x="7"/>
        <item x="4"/>
        <item x="11"/>
        <item x="12"/>
        <item x="13"/>
        <item x="16"/>
        <item x="17"/>
        <item x="18"/>
        <item x="19"/>
        <item t="default"/>
      </items>
    </pivotField>
    <pivotField compact="0" showAll="0">
      <items count="16">
        <item x="5"/>
        <item x="8"/>
        <item x="13"/>
        <item x="9"/>
        <item x="2"/>
        <item x="12"/>
        <item x="11"/>
        <item x="10"/>
        <item x="3"/>
        <item x="6"/>
        <item x="0"/>
        <item x="1"/>
        <item x="7"/>
        <item x="14"/>
        <item x="4"/>
        <item t="default"/>
      </items>
    </pivotField>
    <pivotField compact="0" showAll="0"/>
    <pivotField compact="0" showAll="0">
      <items count="19">
        <item x="17"/>
        <item x="2"/>
        <item x="10"/>
        <item x="7"/>
        <item x="11"/>
        <item x="16"/>
        <item x="5"/>
        <item x="4"/>
        <item x="1"/>
        <item x="0"/>
        <item x="12"/>
        <item x="3"/>
        <item x="6"/>
        <item x="8"/>
        <item x="9"/>
        <item x="13"/>
        <item x="14"/>
        <item x="15"/>
        <item t="default"/>
      </items>
    </pivotField>
    <pivotField dataField="1" compact="0" showAll="0">
      <items count="24">
        <item x="9"/>
        <item x="15"/>
        <item x="18"/>
        <item x="2"/>
        <item x="0"/>
        <item x="8"/>
        <item x="14"/>
        <item x="7"/>
        <item x="6"/>
        <item x="3"/>
        <item x="13"/>
        <item x="11"/>
        <item x="1"/>
        <item x="4"/>
        <item x="5"/>
        <item x="10"/>
        <item x="12"/>
        <item x="16"/>
        <item x="17"/>
        <item x="19"/>
        <item x="20"/>
        <item x="21"/>
        <item x="22"/>
        <item t="default"/>
      </items>
    </pivotField>
    <pivotField compact="0" showAll="0">
      <items count="2">
        <item x="0"/>
        <item t="default"/>
      </items>
    </pivotField>
    <pivotField compact="0" showAll="0">
      <items count="7">
        <item x="0"/>
        <item x="4"/>
        <item x="5"/>
        <item x="1"/>
        <item x="2"/>
        <item x="3"/>
        <item t="default"/>
      </items>
    </pivotField>
    <pivotField compact="0" showAll="0">
      <items count="6">
        <item x="0"/>
        <item x="1"/>
        <item x="3"/>
        <item x="2"/>
        <item x="4"/>
        <item t="default"/>
      </items>
    </pivotField>
    <pivotField compact="0" showAll="0">
      <items count="13">
        <item x="0"/>
        <item x="8"/>
        <item x="4"/>
        <item x="1"/>
        <item x="3"/>
        <item x="2"/>
        <item x="6"/>
        <item x="7"/>
        <item x="9"/>
        <item x="10"/>
        <item x="5"/>
        <item x="11"/>
        <item t="default"/>
      </items>
    </pivotField>
    <pivotField compact="0" showAll="0">
      <items count="13">
        <item x="2"/>
        <item x="5"/>
        <item x="8"/>
        <item x="0"/>
        <item x="1"/>
        <item x="9"/>
        <item x="4"/>
        <item x="6"/>
        <item x="10"/>
        <item x="7"/>
        <item x="11"/>
        <item x="3"/>
        <item t="default"/>
      </items>
    </pivotField>
    <pivotField compact="0" showAll="0"/>
    <pivotField compact="0" showAll="0">
      <items count="23">
        <item x="0"/>
        <item x="5"/>
        <item x="6"/>
        <item x="3"/>
        <item x="14"/>
        <item x="15"/>
        <item x="13"/>
        <item x="1"/>
        <item x="7"/>
        <item x="4"/>
        <item x="2"/>
        <item x="20"/>
        <item x="8"/>
        <item x="10"/>
        <item x="16"/>
        <item x="18"/>
        <item x="11"/>
        <item x="19"/>
        <item x="12"/>
        <item x="17"/>
        <item x="9"/>
        <item x="2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s>
  <rowFields count="1">
    <field x="4"/>
  </rowFields>
  <rowItems count="10">
    <i>
      <x/>
    </i>
    <i>
      <x v="1"/>
    </i>
    <i>
      <x v="2"/>
    </i>
    <i>
      <x v="3"/>
    </i>
    <i>
      <x v="4"/>
    </i>
    <i>
      <x v="5"/>
    </i>
    <i>
      <x v="6"/>
    </i>
    <i>
      <x v="7"/>
    </i>
    <i>
      <x v="8"/>
    </i>
    <i t="grand">
      <x/>
    </i>
  </rowItems>
  <colFields count="1">
    <field x="-2"/>
  </colFields>
  <colItems count="3">
    <i>
      <x/>
    </i>
    <i i="1">
      <x v="1"/>
    </i>
    <i i="2">
      <x v="2"/>
    </i>
  </colItems>
  <dataFields count="3">
    <dataField name="计数项:项目名称" fld="1" subtotal="count" baseField="0" baseItem="0"/>
    <dataField name="求和项:计划总投资" fld="11" baseField="0" baseItem="0"/>
    <dataField name="求和项:2025年计划投资" fld="19" baseField="0" baseItem="0"/>
  </dataFields>
  <formats count="2">
    <format dxfId="0">
      <pivotArea collapsedLevelsAreSubtotals="1" fieldPosition="0">
        <references count="1">
          <reference field="4294967294" count="1" selected="0">
            <x v="1"/>
          </reference>
        </references>
      </pivotArea>
    </format>
    <format dxfId="1">
      <pivotArea collapsedLevelsAreSubtotals="1" fieldPosition="0">
        <references count="1">
          <reference field="4294967294" count="1" selected="0">
            <x v="2"/>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17:E21" firstHeaderRow="1" firstDataRow="2" firstDataCol="1" rowPageCount="1" colPageCount="1"/>
  <pivotFields count="31">
    <pivotField compact="0" showAll="0">
      <items count="18">
        <item x="0"/>
        <item x="1"/>
        <item x="2"/>
        <item x="3"/>
        <item x="4"/>
        <item x="5"/>
        <item x="6"/>
        <item x="7"/>
        <item x="8"/>
        <item x="9"/>
        <item x="10"/>
        <item x="11"/>
        <item x="12"/>
        <item x="13"/>
        <item x="14"/>
        <item x="15"/>
        <item x="16"/>
        <item t="default"/>
      </items>
    </pivotField>
    <pivotField dataField="1" compact="0" showAll="0">
      <items count="27">
        <item x="0"/>
        <item x="8"/>
        <item x="17"/>
        <item x="24"/>
        <item x="21"/>
        <item x="5"/>
        <item x="13"/>
        <item x="10"/>
        <item x="7"/>
        <item x="11"/>
        <item x="23"/>
        <item x="16"/>
        <item x="15"/>
        <item x="3"/>
        <item x="9"/>
        <item x="22"/>
        <item x="19"/>
        <item x="6"/>
        <item x="2"/>
        <item x="1"/>
        <item x="12"/>
        <item x="14"/>
        <item x="20"/>
        <item x="18"/>
        <item x="25"/>
        <item x="4"/>
        <item t="default"/>
      </items>
    </pivotField>
    <pivotField axis="axisPage" compact="0" multipleItemSelectionAllowed="1" showAll="0">
      <items count="3">
        <item x="0"/>
        <item h="1" x="1"/>
        <item t="default"/>
      </items>
    </pivotField>
    <pivotField compact="0" showAll="0">
      <items count="3">
        <item x="1"/>
        <item x="0"/>
        <item t="default"/>
      </items>
    </pivotField>
    <pivotField compact="0" showAll="0">
      <items count="10">
        <item x="6"/>
        <item x="1"/>
        <item x="3"/>
        <item x="0"/>
        <item x="2"/>
        <item x="7"/>
        <item x="8"/>
        <item x="5"/>
        <item x="4"/>
        <item t="default"/>
      </items>
    </pivotField>
    <pivotField compact="0" showAll="0">
      <items count="27">
        <item x="3"/>
        <item x="16"/>
        <item x="11"/>
        <item x="19"/>
        <item x="6"/>
        <item x="10"/>
        <item x="1"/>
        <item x="12"/>
        <item x="22"/>
        <item x="8"/>
        <item x="7"/>
        <item x="21"/>
        <item x="13"/>
        <item x="24"/>
        <item x="9"/>
        <item x="4"/>
        <item x="14"/>
        <item x="5"/>
        <item x="20"/>
        <item x="0"/>
        <item x="2"/>
        <item x="15"/>
        <item x="17"/>
        <item x="18"/>
        <item x="23"/>
        <item x="25"/>
        <item t="default"/>
      </items>
    </pivotField>
    <pivotField compact="0" showAll="0">
      <items count="23">
        <item x="16"/>
        <item x="10"/>
        <item x="1"/>
        <item x="11"/>
        <item x="6"/>
        <item x="15"/>
        <item x="12"/>
        <item x="7"/>
        <item x="17"/>
        <item x="0"/>
        <item x="2"/>
        <item x="5"/>
        <item x="3"/>
        <item x="4"/>
        <item x="20"/>
        <item x="18"/>
        <item x="19"/>
        <item x="14"/>
        <item x="9"/>
        <item x="13"/>
        <item x="8"/>
        <item x="21"/>
        <item t="default"/>
      </items>
    </pivotField>
    <pivotField compact="0" showAll="0">
      <items count="4">
        <item x="2"/>
        <item x="0"/>
        <item x="1"/>
        <item t="default"/>
      </items>
    </pivotField>
    <pivotField axis="axisCol" compact="0" multipleItemSelectionAllowed="1" showAll="0">
      <items count="5">
        <item x="3"/>
        <item x="0"/>
        <item x="2"/>
        <item x="1"/>
        <item t="default"/>
      </items>
    </pivotField>
    <pivotField compact="0" showAll="0">
      <items count="7">
        <item x="0"/>
        <item x="1"/>
        <item x="3"/>
        <item x="2"/>
        <item x="4"/>
        <item x="5"/>
        <item t="default"/>
      </items>
    </pivotField>
    <pivotField compact="0" showAll="0">
      <items count="26">
        <item x="6"/>
        <item x="16"/>
        <item x="13"/>
        <item x="4"/>
        <item x="3"/>
        <item x="9"/>
        <item x="1"/>
        <item x="8"/>
        <item x="14"/>
        <item x="2"/>
        <item x="5"/>
        <item x="19"/>
        <item x="7"/>
        <item x="22"/>
        <item x="20"/>
        <item x="21"/>
        <item x="0"/>
        <item x="10"/>
        <item x="11"/>
        <item x="12"/>
        <item x="17"/>
        <item x="18"/>
        <item x="23"/>
        <item x="15"/>
        <item x="24"/>
        <item t="default"/>
      </items>
    </pivotField>
    <pivotField dataField="1" compact="0" showAll="0">
      <items count="27">
        <item x="20"/>
        <item x="24"/>
        <item x="10"/>
        <item x="21"/>
        <item x="9"/>
        <item x="8"/>
        <item x="16"/>
        <item x="11"/>
        <item x="12"/>
        <item x="15"/>
        <item x="2"/>
        <item x="7"/>
        <item x="14"/>
        <item x="5"/>
        <item x="13"/>
        <item x="3"/>
        <item x="6"/>
        <item x="0"/>
        <item x="1"/>
        <item x="17"/>
        <item x="18"/>
        <item x="19"/>
        <item x="22"/>
        <item x="23"/>
        <item x="25"/>
        <item x="4"/>
        <item t="default"/>
      </items>
    </pivotField>
    <pivotField compact="0" showAll="0">
      <items count="4">
        <item x="0"/>
        <item x="1"/>
        <item x="2"/>
        <item t="default"/>
      </items>
    </pivotField>
    <pivotField compact="0" showAll="0">
      <items count="10">
        <item x="2"/>
        <item x="6"/>
        <item x="7"/>
        <item x="5"/>
        <item x="0"/>
        <item x="3"/>
        <item x="1"/>
        <item x="4"/>
        <item x="8"/>
        <item t="default"/>
      </items>
    </pivotField>
    <pivotField compact="0" showAll="0">
      <items count="8">
        <item x="0"/>
        <item x="6"/>
        <item x="1"/>
        <item x="4"/>
        <item x="5"/>
        <item x="2"/>
        <item x="3"/>
        <item t="default"/>
      </items>
    </pivotField>
    <pivotField compact="0" showAll="0">
      <items count="21">
        <item x="0"/>
        <item x="14"/>
        <item x="15"/>
        <item x="6"/>
        <item x="5"/>
        <item x="10"/>
        <item x="1"/>
        <item x="9"/>
        <item x="3"/>
        <item x="8"/>
        <item x="2"/>
        <item x="7"/>
        <item x="4"/>
        <item x="11"/>
        <item x="12"/>
        <item x="13"/>
        <item x="16"/>
        <item x="17"/>
        <item x="18"/>
        <item x="19"/>
        <item t="default"/>
      </items>
    </pivotField>
    <pivotField compact="0" showAll="0">
      <items count="16">
        <item x="5"/>
        <item x="8"/>
        <item x="13"/>
        <item x="9"/>
        <item x="2"/>
        <item x="12"/>
        <item x="11"/>
        <item x="10"/>
        <item x="3"/>
        <item x="6"/>
        <item x="0"/>
        <item x="1"/>
        <item x="7"/>
        <item x="14"/>
        <item x="4"/>
        <item t="default"/>
      </items>
    </pivotField>
    <pivotField compact="0" showAll="0"/>
    <pivotField compact="0" showAll="0">
      <items count="19">
        <item x="17"/>
        <item x="2"/>
        <item x="10"/>
        <item x="7"/>
        <item x="11"/>
        <item x="16"/>
        <item x="5"/>
        <item x="4"/>
        <item x="1"/>
        <item x="0"/>
        <item x="12"/>
        <item x="3"/>
        <item x="6"/>
        <item x="8"/>
        <item x="9"/>
        <item x="13"/>
        <item x="14"/>
        <item x="15"/>
        <item t="default"/>
      </items>
    </pivotField>
    <pivotField dataField="1" compact="0" showAll="0">
      <items count="24">
        <item x="9"/>
        <item x="15"/>
        <item x="18"/>
        <item x="2"/>
        <item x="0"/>
        <item x="8"/>
        <item x="14"/>
        <item x="7"/>
        <item x="6"/>
        <item x="3"/>
        <item x="13"/>
        <item x="11"/>
        <item x="1"/>
        <item x="4"/>
        <item x="5"/>
        <item x="10"/>
        <item x="12"/>
        <item x="16"/>
        <item x="17"/>
        <item x="19"/>
        <item x="20"/>
        <item x="21"/>
        <item x="22"/>
        <item t="default"/>
      </items>
    </pivotField>
    <pivotField compact="0" showAll="0">
      <items count="2">
        <item x="0"/>
        <item t="default"/>
      </items>
    </pivotField>
    <pivotField compact="0" showAll="0">
      <items count="7">
        <item x="0"/>
        <item x="4"/>
        <item x="5"/>
        <item x="1"/>
        <item x="2"/>
        <item x="3"/>
        <item t="default"/>
      </items>
    </pivotField>
    <pivotField compact="0" showAll="0">
      <items count="6">
        <item x="0"/>
        <item x="1"/>
        <item x="3"/>
        <item x="2"/>
        <item x="4"/>
        <item t="default"/>
      </items>
    </pivotField>
    <pivotField compact="0" showAll="0">
      <items count="13">
        <item x="0"/>
        <item x="8"/>
        <item x="4"/>
        <item x="1"/>
        <item x="3"/>
        <item x="2"/>
        <item x="6"/>
        <item x="7"/>
        <item x="9"/>
        <item x="10"/>
        <item x="5"/>
        <item x="11"/>
        <item t="default"/>
      </items>
    </pivotField>
    <pivotField compact="0" showAll="0">
      <items count="13">
        <item x="2"/>
        <item x="5"/>
        <item x="8"/>
        <item x="0"/>
        <item x="1"/>
        <item x="9"/>
        <item x="4"/>
        <item x="6"/>
        <item x="10"/>
        <item x="7"/>
        <item x="11"/>
        <item x="3"/>
        <item t="default"/>
      </items>
    </pivotField>
    <pivotField compact="0" showAll="0"/>
    <pivotField compact="0" showAll="0">
      <items count="23">
        <item x="0"/>
        <item x="5"/>
        <item x="6"/>
        <item x="3"/>
        <item x="14"/>
        <item x="15"/>
        <item x="13"/>
        <item x="1"/>
        <item x="7"/>
        <item x="4"/>
        <item x="2"/>
        <item x="20"/>
        <item x="8"/>
        <item x="10"/>
        <item x="16"/>
        <item x="18"/>
        <item x="11"/>
        <item x="19"/>
        <item x="12"/>
        <item x="17"/>
        <item x="9"/>
        <item x="2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s>
  <rowFields count="1">
    <field x="-2"/>
  </rowFields>
  <rowItems count="3">
    <i>
      <x/>
    </i>
    <i i="1">
      <x v="1"/>
    </i>
    <i i="2">
      <x v="2"/>
    </i>
  </rowItems>
  <colFields count="1">
    <field x="8"/>
  </colFields>
  <colItems count="4">
    <i>
      <x v="1"/>
    </i>
    <i>
      <x v="2"/>
    </i>
    <i>
      <x v="3"/>
    </i>
    <i t="grand">
      <x/>
    </i>
  </colItems>
  <pageFields count="1">
    <pageField fld="2"/>
  </pageFields>
  <dataFields count="3">
    <dataField name="计数项:项目名称" fld="1" subtotal="count" baseField="0" baseItem="0"/>
    <dataField name="求和项:计划总投资" fld="11" baseField="0" baseItem="0"/>
    <dataField name="求和项:2025年计划投资" fld="19" baseField="0" baseItem="0"/>
  </dataFields>
  <formats count="2">
    <format dxfId="2">
      <pivotArea collapsedLevelsAreSubtotals="1" fieldPosition="0">
        <references count="1">
          <reference field="4294967294" count="1" selected="0">
            <x v="1"/>
          </reference>
        </references>
      </pivotArea>
    </format>
    <format dxfId="3">
      <pivotArea collapsedLevelsAreSubtotals="1" fieldPosition="0">
        <references count="1">
          <reference field="4294967294" count="1" selected="0">
            <x v="2"/>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3"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0:G34" firstHeaderRow="1" firstDataRow="2" firstDataCol="1" rowPageCount="1" colPageCount="1"/>
  <pivotFields count="31">
    <pivotField compact="0" showAll="0">
      <items count="18">
        <item x="0"/>
        <item x="1"/>
        <item x="2"/>
        <item x="3"/>
        <item x="4"/>
        <item x="5"/>
        <item x="6"/>
        <item x="7"/>
        <item x="8"/>
        <item x="9"/>
        <item x="10"/>
        <item x="11"/>
        <item x="12"/>
        <item x="13"/>
        <item x="14"/>
        <item x="15"/>
        <item x="16"/>
        <item t="default"/>
      </items>
    </pivotField>
    <pivotField dataField="1" compact="0" showAll="0">
      <items count="27">
        <item x="0"/>
        <item x="8"/>
        <item x="17"/>
        <item x="24"/>
        <item x="21"/>
        <item x="5"/>
        <item x="13"/>
        <item x="10"/>
        <item x="7"/>
        <item x="11"/>
        <item x="23"/>
        <item x="16"/>
        <item x="15"/>
        <item x="3"/>
        <item x="9"/>
        <item x="22"/>
        <item x="19"/>
        <item x="6"/>
        <item x="2"/>
        <item x="1"/>
        <item x="12"/>
        <item x="14"/>
        <item x="20"/>
        <item x="18"/>
        <item x="25"/>
        <item x="4"/>
        <item t="default"/>
      </items>
    </pivotField>
    <pivotField axis="axisPage" compact="0" showAll="0">
      <items count="3">
        <item x="0"/>
        <item x="1"/>
        <item t="default"/>
      </items>
    </pivotField>
    <pivotField compact="0" showAll="0">
      <items count="3">
        <item x="1"/>
        <item x="0"/>
        <item t="default"/>
      </items>
    </pivotField>
    <pivotField compact="0" showAll="0">
      <items count="10">
        <item x="6"/>
        <item x="1"/>
        <item x="3"/>
        <item x="0"/>
        <item x="2"/>
        <item x="7"/>
        <item x="8"/>
        <item x="5"/>
        <item x="4"/>
        <item t="default"/>
      </items>
    </pivotField>
    <pivotField compact="0" showAll="0">
      <items count="27">
        <item x="3"/>
        <item x="16"/>
        <item x="11"/>
        <item x="19"/>
        <item x="6"/>
        <item x="10"/>
        <item x="1"/>
        <item x="12"/>
        <item x="22"/>
        <item x="8"/>
        <item x="7"/>
        <item x="21"/>
        <item x="13"/>
        <item x="24"/>
        <item x="9"/>
        <item x="4"/>
        <item x="14"/>
        <item x="5"/>
        <item x="20"/>
        <item x="0"/>
        <item x="2"/>
        <item x="15"/>
        <item x="17"/>
        <item x="18"/>
        <item x="23"/>
        <item x="25"/>
        <item t="default"/>
      </items>
    </pivotField>
    <pivotField compact="0" showAll="0">
      <items count="23">
        <item x="16"/>
        <item x="10"/>
        <item x="1"/>
        <item x="11"/>
        <item x="6"/>
        <item x="15"/>
        <item x="12"/>
        <item x="7"/>
        <item x="17"/>
        <item x="0"/>
        <item x="2"/>
        <item x="5"/>
        <item x="3"/>
        <item x="4"/>
        <item x="20"/>
        <item x="18"/>
        <item x="19"/>
        <item x="14"/>
        <item x="9"/>
        <item x="13"/>
        <item x="8"/>
        <item x="21"/>
        <item t="default"/>
      </items>
    </pivotField>
    <pivotField compact="0" showAll="0">
      <items count="4">
        <item x="2"/>
        <item x="0"/>
        <item x="1"/>
        <item t="default"/>
      </items>
    </pivotField>
    <pivotField compact="0" showAll="0">
      <items count="5">
        <item x="3"/>
        <item x="0"/>
        <item x="2"/>
        <item x="1"/>
        <item t="default"/>
      </items>
    </pivotField>
    <pivotField axis="axisCol" compact="0" showAll="0">
      <items count="7">
        <item x="0"/>
        <item x="4"/>
        <item x="1"/>
        <item x="2"/>
        <item x="3"/>
        <item x="5"/>
        <item t="default"/>
      </items>
    </pivotField>
    <pivotField compact="0" showAll="0">
      <items count="26">
        <item x="6"/>
        <item x="16"/>
        <item x="13"/>
        <item x="4"/>
        <item x="3"/>
        <item x="9"/>
        <item x="1"/>
        <item x="8"/>
        <item x="14"/>
        <item x="2"/>
        <item x="5"/>
        <item x="19"/>
        <item x="7"/>
        <item x="22"/>
        <item x="20"/>
        <item x="21"/>
        <item x="0"/>
        <item x="10"/>
        <item x="11"/>
        <item x="12"/>
        <item x="17"/>
        <item x="18"/>
        <item x="23"/>
        <item x="15"/>
        <item x="24"/>
        <item t="default"/>
      </items>
    </pivotField>
    <pivotField dataField="1" compact="0" showAll="0">
      <items count="27">
        <item x="20"/>
        <item x="24"/>
        <item x="10"/>
        <item x="21"/>
        <item x="9"/>
        <item x="8"/>
        <item x="16"/>
        <item x="11"/>
        <item x="12"/>
        <item x="15"/>
        <item x="2"/>
        <item x="7"/>
        <item x="14"/>
        <item x="5"/>
        <item x="13"/>
        <item x="3"/>
        <item x="6"/>
        <item x="0"/>
        <item x="1"/>
        <item x="17"/>
        <item x="18"/>
        <item x="19"/>
        <item x="22"/>
        <item x="23"/>
        <item x="25"/>
        <item x="4"/>
        <item t="default"/>
      </items>
    </pivotField>
    <pivotField compact="0" showAll="0">
      <items count="4">
        <item x="0"/>
        <item x="1"/>
        <item x="2"/>
        <item t="default"/>
      </items>
    </pivotField>
    <pivotField compact="0" showAll="0">
      <items count="10">
        <item x="2"/>
        <item x="6"/>
        <item x="7"/>
        <item x="5"/>
        <item x="0"/>
        <item x="3"/>
        <item x="1"/>
        <item x="4"/>
        <item x="8"/>
        <item t="default"/>
      </items>
    </pivotField>
    <pivotField compact="0" showAll="0">
      <items count="8">
        <item x="0"/>
        <item x="6"/>
        <item x="1"/>
        <item x="4"/>
        <item x="5"/>
        <item x="2"/>
        <item x="3"/>
        <item t="default"/>
      </items>
    </pivotField>
    <pivotField compact="0" showAll="0">
      <items count="21">
        <item x="0"/>
        <item x="14"/>
        <item x="15"/>
        <item x="6"/>
        <item x="5"/>
        <item x="10"/>
        <item x="1"/>
        <item x="9"/>
        <item x="3"/>
        <item x="8"/>
        <item x="2"/>
        <item x="7"/>
        <item x="4"/>
        <item x="11"/>
        <item x="12"/>
        <item x="13"/>
        <item x="16"/>
        <item x="17"/>
        <item x="18"/>
        <item x="19"/>
        <item t="default"/>
      </items>
    </pivotField>
    <pivotField compact="0" showAll="0">
      <items count="16">
        <item x="5"/>
        <item x="8"/>
        <item x="13"/>
        <item x="9"/>
        <item x="2"/>
        <item x="12"/>
        <item x="11"/>
        <item x="10"/>
        <item x="3"/>
        <item x="6"/>
        <item x="0"/>
        <item x="1"/>
        <item x="7"/>
        <item x="14"/>
        <item x="4"/>
        <item t="default"/>
      </items>
    </pivotField>
    <pivotField compact="0" showAll="0"/>
    <pivotField compact="0" showAll="0">
      <items count="19">
        <item x="17"/>
        <item x="2"/>
        <item x="10"/>
        <item x="7"/>
        <item x="11"/>
        <item x="16"/>
        <item x="5"/>
        <item x="4"/>
        <item x="1"/>
        <item x="0"/>
        <item x="12"/>
        <item x="3"/>
        <item x="6"/>
        <item x="8"/>
        <item x="9"/>
        <item x="13"/>
        <item x="14"/>
        <item x="15"/>
        <item t="default"/>
      </items>
    </pivotField>
    <pivotField dataField="1" compact="0" showAll="0">
      <items count="24">
        <item x="9"/>
        <item x="15"/>
        <item x="18"/>
        <item x="2"/>
        <item x="0"/>
        <item x="8"/>
        <item x="14"/>
        <item x="7"/>
        <item x="6"/>
        <item x="3"/>
        <item x="13"/>
        <item x="11"/>
        <item x="1"/>
        <item x="4"/>
        <item x="5"/>
        <item x="10"/>
        <item x="12"/>
        <item x="16"/>
        <item x="17"/>
        <item x="19"/>
        <item x="20"/>
        <item x="21"/>
        <item x="22"/>
        <item t="default"/>
      </items>
    </pivotField>
    <pivotField compact="0" showAll="0">
      <items count="2">
        <item x="0"/>
        <item t="default"/>
      </items>
    </pivotField>
    <pivotField compact="0" showAll="0">
      <items count="7">
        <item x="0"/>
        <item x="4"/>
        <item x="5"/>
        <item x="1"/>
        <item x="2"/>
        <item x="3"/>
        <item t="default"/>
      </items>
    </pivotField>
    <pivotField compact="0" showAll="0">
      <items count="6">
        <item x="0"/>
        <item x="1"/>
        <item x="3"/>
        <item x="2"/>
        <item x="4"/>
        <item t="default"/>
      </items>
    </pivotField>
    <pivotField compact="0" showAll="0">
      <items count="13">
        <item x="0"/>
        <item x="8"/>
        <item x="4"/>
        <item x="1"/>
        <item x="3"/>
        <item x="2"/>
        <item x="6"/>
        <item x="7"/>
        <item x="9"/>
        <item x="10"/>
        <item x="5"/>
        <item x="11"/>
        <item t="default"/>
      </items>
    </pivotField>
    <pivotField compact="0" showAll="0">
      <items count="13">
        <item x="2"/>
        <item x="5"/>
        <item x="8"/>
        <item x="0"/>
        <item x="1"/>
        <item x="9"/>
        <item x="4"/>
        <item x="6"/>
        <item x="10"/>
        <item x="7"/>
        <item x="11"/>
        <item x="3"/>
        <item t="default"/>
      </items>
    </pivotField>
    <pivotField compact="0" showAll="0"/>
    <pivotField compact="0" showAll="0">
      <items count="23">
        <item x="0"/>
        <item x="5"/>
        <item x="6"/>
        <item x="3"/>
        <item x="14"/>
        <item x="15"/>
        <item x="13"/>
        <item x="1"/>
        <item x="7"/>
        <item x="4"/>
        <item x="2"/>
        <item x="20"/>
        <item x="8"/>
        <item x="10"/>
        <item x="16"/>
        <item x="18"/>
        <item x="11"/>
        <item x="19"/>
        <item x="12"/>
        <item x="17"/>
        <item x="9"/>
        <item x="2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s>
  <rowFields count="1">
    <field x="-2"/>
  </rowFields>
  <rowItems count="3">
    <i>
      <x/>
    </i>
    <i i="1">
      <x v="1"/>
    </i>
    <i i="2">
      <x v="2"/>
    </i>
  </rowItems>
  <colFields count="1">
    <field x="9"/>
  </colFields>
  <colItems count="6">
    <i>
      <x v="1"/>
    </i>
    <i>
      <x v="2"/>
    </i>
    <i>
      <x v="3"/>
    </i>
    <i>
      <x v="4"/>
    </i>
    <i>
      <x v="5"/>
    </i>
    <i t="grand">
      <x/>
    </i>
  </colItems>
  <pageFields count="1">
    <pageField fld="2" item="1"/>
  </pageFields>
  <dataFields count="3">
    <dataField name="计数项:项目名称" fld="1" subtotal="count" baseField="0" baseItem="0"/>
    <dataField name="求和项:计划总投资" fld="11" baseField="0" baseItem="0"/>
    <dataField name="求和项:2025年计划投资" fld="19" baseField="0" baseItem="0"/>
  </dataFields>
  <formats count="2">
    <format dxfId="4">
      <pivotArea collapsedLevelsAreSubtotals="1" fieldPosition="0">
        <references count="1">
          <reference field="4294967294" count="1" selected="0">
            <x v="1"/>
          </reference>
        </references>
      </pivotArea>
    </format>
    <format dxfId="5">
      <pivotArea collapsedLevelsAreSubtotals="1" fieldPosition="0">
        <references count="1">
          <reference field="4294967294" count="1" selected="0">
            <x v="2"/>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51:D54" firstHeaderRow="0" firstDataRow="1" firstDataCol="1"/>
  <pivotFields count="31">
    <pivotField compact="0" showAll="0">
      <items count="18">
        <item x="0"/>
        <item x="1"/>
        <item x="2"/>
        <item x="3"/>
        <item x="4"/>
        <item x="5"/>
        <item x="6"/>
        <item x="7"/>
        <item x="8"/>
        <item x="9"/>
        <item x="10"/>
        <item x="11"/>
        <item x="12"/>
        <item x="13"/>
        <item x="14"/>
        <item x="15"/>
        <item x="16"/>
        <item t="default"/>
      </items>
    </pivotField>
    <pivotField dataField="1" compact="0" showAll="0">
      <items count="27">
        <item x="0"/>
        <item x="8"/>
        <item x="17"/>
        <item x="24"/>
        <item x="21"/>
        <item x="5"/>
        <item x="13"/>
        <item x="10"/>
        <item x="7"/>
        <item x="11"/>
        <item x="23"/>
        <item x="16"/>
        <item x="15"/>
        <item x="3"/>
        <item x="9"/>
        <item x="22"/>
        <item x="19"/>
        <item x="6"/>
        <item x="2"/>
        <item x="1"/>
        <item x="12"/>
        <item x="14"/>
        <item x="20"/>
        <item x="18"/>
        <item x="25"/>
        <item x="4"/>
        <item t="default"/>
      </items>
    </pivotField>
    <pivotField compact="0" showAll="0">
      <items count="3">
        <item x="0"/>
        <item x="1"/>
        <item t="default"/>
      </items>
    </pivotField>
    <pivotField axis="axisRow" compact="0" showAll="0">
      <items count="3">
        <item x="0"/>
        <item x="1"/>
        <item t="default"/>
      </items>
    </pivotField>
    <pivotField compact="0" showAll="0">
      <items count="10">
        <item x="6"/>
        <item x="1"/>
        <item x="3"/>
        <item x="0"/>
        <item x="2"/>
        <item x="7"/>
        <item x="8"/>
        <item x="5"/>
        <item x="4"/>
        <item t="default"/>
      </items>
    </pivotField>
    <pivotField compact="0" showAll="0">
      <items count="27">
        <item x="3"/>
        <item x="23"/>
        <item x="18"/>
        <item x="0"/>
        <item x="16"/>
        <item x="11"/>
        <item x="19"/>
        <item x="6"/>
        <item x="10"/>
        <item x="2"/>
        <item x="1"/>
        <item x="12"/>
        <item x="22"/>
        <item x="15"/>
        <item x="8"/>
        <item x="7"/>
        <item x="17"/>
        <item x="21"/>
        <item x="13"/>
        <item x="24"/>
        <item x="9"/>
        <item x="4"/>
        <item x="14"/>
        <item x="5"/>
        <item x="20"/>
        <item x="25"/>
        <item t="default"/>
      </items>
    </pivotField>
    <pivotField compact="0" showAll="0">
      <items count="23">
        <item x="16"/>
        <item x="10"/>
        <item x="1"/>
        <item x="11"/>
        <item x="6"/>
        <item x="15"/>
        <item x="12"/>
        <item x="7"/>
        <item x="17"/>
        <item x="0"/>
        <item x="2"/>
        <item x="5"/>
        <item x="3"/>
        <item x="4"/>
        <item x="20"/>
        <item x="18"/>
        <item x="19"/>
        <item x="14"/>
        <item x="9"/>
        <item x="13"/>
        <item x="8"/>
        <item x="21"/>
        <item t="default"/>
      </items>
    </pivotField>
    <pivotField compact="0" showAll="0">
      <items count="4">
        <item x="2"/>
        <item x="0"/>
        <item x="1"/>
        <item t="default"/>
      </items>
    </pivotField>
    <pivotField compact="0" showAll="0">
      <items count="5">
        <item x="3"/>
        <item x="0"/>
        <item x="2"/>
        <item x="1"/>
        <item t="default"/>
      </items>
    </pivotField>
    <pivotField compact="0" showAll="0">
      <items count="7">
        <item x="0"/>
        <item x="1"/>
        <item x="3"/>
        <item x="2"/>
        <item x="4"/>
        <item x="5"/>
        <item t="default"/>
      </items>
    </pivotField>
    <pivotField compact="0" showAll="0">
      <items count="26">
        <item x="0"/>
        <item x="6"/>
        <item x="16"/>
        <item x="12"/>
        <item x="13"/>
        <item x="4"/>
        <item x="11"/>
        <item x="3"/>
        <item x="9"/>
        <item x="15"/>
        <item x="1"/>
        <item x="8"/>
        <item x="14"/>
        <item x="10"/>
        <item x="2"/>
        <item x="5"/>
        <item x="23"/>
        <item x="19"/>
        <item x="7"/>
        <item x="22"/>
        <item x="20"/>
        <item x="21"/>
        <item x="18"/>
        <item x="17"/>
        <item x="24"/>
        <item t="default"/>
      </items>
    </pivotField>
    <pivotField dataField="1" compact="0" showAll="0">
      <items count="27">
        <item x="20"/>
        <item x="24"/>
        <item x="10"/>
        <item x="21"/>
        <item x="9"/>
        <item x="8"/>
        <item x="16"/>
        <item x="11"/>
        <item x="12"/>
        <item x="15"/>
        <item x="2"/>
        <item x="7"/>
        <item x="14"/>
        <item x="5"/>
        <item x="13"/>
        <item x="3"/>
        <item x="6"/>
        <item x="0"/>
        <item x="1"/>
        <item x="17"/>
        <item x="18"/>
        <item x="19"/>
        <item x="22"/>
        <item x="23"/>
        <item x="25"/>
        <item x="4"/>
        <item t="default"/>
      </items>
    </pivotField>
    <pivotField compact="0" showAll="0">
      <items count="4">
        <item x="0"/>
        <item x="1"/>
        <item x="2"/>
        <item t="default"/>
      </items>
    </pivotField>
    <pivotField compact="0" showAll="0">
      <items count="10">
        <item x="2"/>
        <item x="6"/>
        <item x="8"/>
        <item x="7"/>
        <item x="5"/>
        <item x="0"/>
        <item x="4"/>
        <item x="3"/>
        <item x="1"/>
        <item t="default"/>
      </items>
    </pivotField>
    <pivotField compact="0" showAll="0">
      <items count="8">
        <item x="0"/>
        <item x="6"/>
        <item x="1"/>
        <item x="4"/>
        <item x="5"/>
        <item x="2"/>
        <item x="3"/>
        <item t="default"/>
      </items>
    </pivotField>
    <pivotField compact="0" showAll="0">
      <items count="21">
        <item x="0"/>
        <item x="16"/>
        <item x="17"/>
        <item x="14"/>
        <item x="15"/>
        <item x="18"/>
        <item x="6"/>
        <item x="5"/>
        <item x="10"/>
        <item x="1"/>
        <item x="13"/>
        <item x="11"/>
        <item x="12"/>
        <item x="9"/>
        <item x="3"/>
        <item x="8"/>
        <item x="2"/>
        <item x="7"/>
        <item x="4"/>
        <item x="19"/>
        <item t="default"/>
      </items>
    </pivotField>
    <pivotField compact="0" showAll="0">
      <items count="16">
        <item x="5"/>
        <item x="8"/>
        <item x="13"/>
        <item x="9"/>
        <item x="7"/>
        <item x="2"/>
        <item x="12"/>
        <item x="11"/>
        <item x="10"/>
        <item x="3"/>
        <item x="6"/>
        <item x="0"/>
        <item x="1"/>
        <item x="14"/>
        <item x="4"/>
        <item t="default"/>
      </items>
    </pivotField>
    <pivotField compact="0" showAll="0"/>
    <pivotField compact="0" showAll="0">
      <items count="19">
        <item x="17"/>
        <item x="2"/>
        <item x="10"/>
        <item x="7"/>
        <item x="8"/>
        <item x="9"/>
        <item x="11"/>
        <item x="14"/>
        <item x="16"/>
        <item x="15"/>
        <item x="12"/>
        <item x="5"/>
        <item x="13"/>
        <item x="3"/>
        <item x="6"/>
        <item x="4"/>
        <item x="1"/>
        <item x="0"/>
        <item t="default"/>
      </items>
    </pivotField>
    <pivotField dataField="1" compact="0" showAll="0">
      <items count="24">
        <item x="9"/>
        <item x="15"/>
        <item x="18"/>
        <item x="2"/>
        <item x="0"/>
        <item x="8"/>
        <item x="14"/>
        <item x="7"/>
        <item x="6"/>
        <item x="3"/>
        <item x="13"/>
        <item x="11"/>
        <item x="1"/>
        <item x="4"/>
        <item x="5"/>
        <item x="10"/>
        <item x="12"/>
        <item x="16"/>
        <item x="17"/>
        <item x="19"/>
        <item x="20"/>
        <item x="21"/>
        <item x="22"/>
        <item t="default"/>
      </items>
    </pivotField>
    <pivotField compact="0" showAll="0">
      <items count="2">
        <item x="0"/>
        <item t="default"/>
      </items>
    </pivotField>
    <pivotField compact="0" showAll="0">
      <items count="7">
        <item x="0"/>
        <item x="4"/>
        <item x="5"/>
        <item x="3"/>
        <item x="2"/>
        <item x="1"/>
        <item t="default"/>
      </items>
    </pivotField>
    <pivotField compact="0" showAll="0">
      <items count="6">
        <item x="0"/>
        <item x="1"/>
        <item x="4"/>
        <item x="3"/>
        <item x="2"/>
        <item t="default"/>
      </items>
    </pivotField>
    <pivotField compact="0" showAll="0">
      <items count="13">
        <item x="0"/>
        <item x="9"/>
        <item x="2"/>
        <item x="5"/>
        <item x="8"/>
        <item x="10"/>
        <item x="4"/>
        <item x="3"/>
        <item x="7"/>
        <item x="6"/>
        <item x="1"/>
        <item x="11"/>
        <item t="default"/>
      </items>
    </pivotField>
    <pivotField compact="0" showAll="0">
      <items count="13">
        <item x="2"/>
        <item x="10"/>
        <item x="5"/>
        <item x="4"/>
        <item x="6"/>
        <item x="0"/>
        <item x="7"/>
        <item x="9"/>
        <item x="8"/>
        <item x="1"/>
        <item x="11"/>
        <item x="3"/>
        <item t="default"/>
      </items>
    </pivotField>
    <pivotField compact="0" showAll="0"/>
    <pivotField compact="0" showAll="0">
      <items count="23">
        <item x="0"/>
        <item x="5"/>
        <item x="6"/>
        <item x="3"/>
        <item x="14"/>
        <item x="15"/>
        <item x="13"/>
        <item x="1"/>
        <item x="7"/>
        <item x="4"/>
        <item x="9"/>
        <item x="2"/>
        <item x="20"/>
        <item x="8"/>
        <item x="10"/>
        <item x="16"/>
        <item x="18"/>
        <item x="11"/>
        <item x="19"/>
        <item x="12"/>
        <item x="17"/>
        <item x="2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s>
  <rowFields count="1">
    <field x="3"/>
  </rowFields>
  <rowItems count="3">
    <i>
      <x/>
    </i>
    <i>
      <x v="1"/>
    </i>
    <i t="grand">
      <x/>
    </i>
  </rowItems>
  <colFields count="1">
    <field x="-2"/>
  </colFields>
  <colItems count="3">
    <i>
      <x/>
    </i>
    <i i="1">
      <x v="1"/>
    </i>
    <i i="2">
      <x v="2"/>
    </i>
  </colItems>
  <dataFields count="3">
    <dataField name="计数项:项目名称" fld="1" subtotal="count" baseField="0" baseItem="0"/>
    <dataField name="求和项:计划总投资" fld="11" baseField="0" baseItem="0"/>
    <dataField name="求和项:2025年计划投资" fld="19" baseField="0" baseItem="0"/>
  </dataFields>
  <formats count="2">
    <format dxfId="6">
      <pivotArea collapsedLevelsAreSubtotals="1" fieldPosition="0">
        <references count="1">
          <reference field="4294967294" count="1" selected="0">
            <x v="1"/>
          </reference>
        </references>
      </pivotArea>
    </format>
    <format dxfId="7">
      <pivotArea collapsedLevelsAreSubtotals="1" fieldPosition="0">
        <references count="1">
          <reference field="4294967294" count="1" selected="0">
            <x v="2"/>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67:E74" firstHeaderRow="0" firstDataRow="1" firstDataCol="2"/>
  <pivotFields count="31">
    <pivotField compact="0" showAll="0">
      <items count="18">
        <item x="0"/>
        <item x="1"/>
        <item x="2"/>
        <item x="3"/>
        <item x="4"/>
        <item x="5"/>
        <item x="6"/>
        <item x="7"/>
        <item x="8"/>
        <item x="9"/>
        <item x="10"/>
        <item x="11"/>
        <item x="12"/>
        <item x="13"/>
        <item x="14"/>
        <item x="15"/>
        <item x="16"/>
        <item t="default"/>
      </items>
    </pivotField>
    <pivotField dataField="1" compact="0" showAll="0">
      <items count="27">
        <item x="0"/>
        <item x="8"/>
        <item x="17"/>
        <item x="24"/>
        <item x="21"/>
        <item x="5"/>
        <item x="13"/>
        <item x="10"/>
        <item x="7"/>
        <item x="11"/>
        <item x="23"/>
        <item x="16"/>
        <item x="15"/>
        <item x="3"/>
        <item x="9"/>
        <item x="22"/>
        <item x="19"/>
        <item x="6"/>
        <item x="2"/>
        <item x="1"/>
        <item x="12"/>
        <item x="14"/>
        <item x="20"/>
        <item x="18"/>
        <item x="25"/>
        <item x="4"/>
        <item t="default"/>
      </items>
    </pivotField>
    <pivotField compact="0" showAll="0">
      <items count="3">
        <item x="0"/>
        <item x="1"/>
        <item t="default"/>
      </items>
    </pivotField>
    <pivotField axis="axisRow" compact="0" showAll="0">
      <items count="3">
        <item x="0"/>
        <item x="1"/>
        <item t="default"/>
      </items>
    </pivotField>
    <pivotField compact="0" showAll="0">
      <items count="10">
        <item x="6"/>
        <item x="1"/>
        <item x="3"/>
        <item x="0"/>
        <item x="2"/>
        <item x="7"/>
        <item x="8"/>
        <item x="5"/>
        <item x="4"/>
        <item t="default"/>
      </items>
    </pivotField>
    <pivotField compact="0" showAll="0">
      <items count="27">
        <item x="3"/>
        <item x="23"/>
        <item x="18"/>
        <item x="0"/>
        <item x="16"/>
        <item x="11"/>
        <item x="19"/>
        <item x="6"/>
        <item x="10"/>
        <item x="2"/>
        <item x="1"/>
        <item x="12"/>
        <item x="22"/>
        <item x="15"/>
        <item x="8"/>
        <item x="7"/>
        <item x="17"/>
        <item x="21"/>
        <item x="13"/>
        <item x="24"/>
        <item x="9"/>
        <item x="4"/>
        <item x="14"/>
        <item x="5"/>
        <item x="20"/>
        <item x="25"/>
        <item t="default"/>
      </items>
    </pivotField>
    <pivotField compact="0" showAll="0">
      <items count="23">
        <item x="16"/>
        <item x="10"/>
        <item x="1"/>
        <item x="11"/>
        <item x="6"/>
        <item x="15"/>
        <item x="12"/>
        <item x="7"/>
        <item x="17"/>
        <item x="0"/>
        <item x="2"/>
        <item x="5"/>
        <item x="3"/>
        <item x="4"/>
        <item x="20"/>
        <item x="18"/>
        <item x="19"/>
        <item x="14"/>
        <item x="9"/>
        <item x="13"/>
        <item x="8"/>
        <item x="21"/>
        <item t="default"/>
      </items>
    </pivotField>
    <pivotField compact="0" showAll="0">
      <items count="4">
        <item x="2"/>
        <item x="0"/>
        <item x="1"/>
        <item t="default"/>
      </items>
    </pivotField>
    <pivotField compact="0" showAll="0">
      <items count="5">
        <item x="3"/>
        <item x="0"/>
        <item x="2"/>
        <item x="1"/>
        <item t="default"/>
      </items>
    </pivotField>
    <pivotField compact="0" showAll="0">
      <items count="7">
        <item x="0"/>
        <item x="1"/>
        <item x="3"/>
        <item x="2"/>
        <item x="4"/>
        <item x="5"/>
        <item t="default"/>
      </items>
    </pivotField>
    <pivotField compact="0" showAll="0">
      <items count="26">
        <item x="0"/>
        <item x="6"/>
        <item x="16"/>
        <item x="12"/>
        <item x="13"/>
        <item x="4"/>
        <item x="11"/>
        <item x="3"/>
        <item x="9"/>
        <item x="15"/>
        <item x="1"/>
        <item x="8"/>
        <item x="14"/>
        <item x="10"/>
        <item x="2"/>
        <item x="5"/>
        <item x="23"/>
        <item x="19"/>
        <item x="7"/>
        <item x="22"/>
        <item x="20"/>
        <item x="21"/>
        <item x="18"/>
        <item x="17"/>
        <item x="24"/>
        <item t="default"/>
      </items>
    </pivotField>
    <pivotField dataField="1" compact="0" showAll="0">
      <items count="27">
        <item x="20"/>
        <item x="24"/>
        <item x="10"/>
        <item x="21"/>
        <item x="9"/>
        <item x="8"/>
        <item x="16"/>
        <item x="11"/>
        <item x="12"/>
        <item x="15"/>
        <item x="2"/>
        <item x="7"/>
        <item x="14"/>
        <item x="5"/>
        <item x="13"/>
        <item x="3"/>
        <item x="6"/>
        <item x="0"/>
        <item x="1"/>
        <item x="17"/>
        <item x="18"/>
        <item x="19"/>
        <item x="22"/>
        <item x="23"/>
        <item x="25"/>
        <item x="4"/>
        <item t="default"/>
      </items>
    </pivotField>
    <pivotField compact="0" showAll="0">
      <items count="4">
        <item x="0"/>
        <item x="1"/>
        <item x="2"/>
        <item t="default"/>
      </items>
    </pivotField>
    <pivotField compact="0" showAll="0">
      <items count="10">
        <item x="2"/>
        <item x="6"/>
        <item x="8"/>
        <item x="7"/>
        <item x="5"/>
        <item x="0"/>
        <item x="4"/>
        <item x="3"/>
        <item x="1"/>
        <item t="default"/>
      </items>
    </pivotField>
    <pivotField compact="0" showAll="0">
      <items count="8">
        <item x="0"/>
        <item x="6"/>
        <item x="1"/>
        <item x="4"/>
        <item x="5"/>
        <item x="2"/>
        <item x="3"/>
        <item t="default"/>
      </items>
    </pivotField>
    <pivotField compact="0" showAll="0">
      <items count="21">
        <item x="0"/>
        <item x="16"/>
        <item x="17"/>
        <item x="14"/>
        <item x="15"/>
        <item x="18"/>
        <item x="6"/>
        <item x="5"/>
        <item x="10"/>
        <item x="1"/>
        <item x="13"/>
        <item x="11"/>
        <item x="12"/>
        <item x="9"/>
        <item x="3"/>
        <item x="8"/>
        <item x="2"/>
        <item x="7"/>
        <item x="4"/>
        <item x="19"/>
        <item t="default"/>
      </items>
    </pivotField>
    <pivotField compact="0" showAll="0">
      <items count="16">
        <item x="5"/>
        <item x="8"/>
        <item x="13"/>
        <item x="9"/>
        <item x="7"/>
        <item x="2"/>
        <item x="12"/>
        <item x="11"/>
        <item x="10"/>
        <item x="3"/>
        <item x="6"/>
        <item x="0"/>
        <item x="1"/>
        <item x="14"/>
        <item x="4"/>
        <item t="default"/>
      </items>
    </pivotField>
    <pivotField compact="0" showAll="0"/>
    <pivotField compact="0" showAll="0">
      <items count="19">
        <item x="17"/>
        <item x="2"/>
        <item x="10"/>
        <item x="7"/>
        <item x="8"/>
        <item x="9"/>
        <item x="11"/>
        <item x="14"/>
        <item x="16"/>
        <item x="15"/>
        <item x="12"/>
        <item x="5"/>
        <item x="13"/>
        <item x="3"/>
        <item x="6"/>
        <item x="4"/>
        <item x="1"/>
        <item x="0"/>
        <item t="default"/>
      </items>
    </pivotField>
    <pivotField dataField="1" compact="0" showAll="0">
      <items count="24">
        <item x="9"/>
        <item x="15"/>
        <item x="18"/>
        <item x="2"/>
        <item x="0"/>
        <item x="8"/>
        <item x="14"/>
        <item x="7"/>
        <item x="6"/>
        <item x="3"/>
        <item x="13"/>
        <item x="11"/>
        <item x="1"/>
        <item x="4"/>
        <item x="5"/>
        <item x="10"/>
        <item x="12"/>
        <item x="16"/>
        <item x="17"/>
        <item x="19"/>
        <item x="20"/>
        <item x="21"/>
        <item x="22"/>
        <item t="default"/>
      </items>
    </pivotField>
    <pivotField compact="0" showAll="0">
      <items count="2">
        <item x="0"/>
        <item t="default"/>
      </items>
    </pivotField>
    <pivotField compact="0" showAll="0">
      <items count="7">
        <item x="0"/>
        <item x="4"/>
        <item x="5"/>
        <item x="3"/>
        <item x="2"/>
        <item x="1"/>
        <item t="default"/>
      </items>
    </pivotField>
    <pivotField compact="0" showAll="0">
      <items count="6">
        <item x="0"/>
        <item x="1"/>
        <item x="4"/>
        <item x="3"/>
        <item x="2"/>
        <item t="default"/>
      </items>
    </pivotField>
    <pivotField compact="0" showAll="0">
      <items count="13">
        <item x="0"/>
        <item x="9"/>
        <item x="2"/>
        <item x="5"/>
        <item x="8"/>
        <item x="10"/>
        <item x="4"/>
        <item x="3"/>
        <item x="7"/>
        <item x="6"/>
        <item x="1"/>
        <item x="11"/>
        <item t="default"/>
      </items>
    </pivotField>
    <pivotField compact="0" showAll="0">
      <items count="13">
        <item x="2"/>
        <item x="10"/>
        <item x="5"/>
        <item x="4"/>
        <item x="6"/>
        <item x="0"/>
        <item x="7"/>
        <item x="9"/>
        <item x="8"/>
        <item x="1"/>
        <item x="11"/>
        <item x="3"/>
        <item t="default"/>
      </items>
    </pivotField>
    <pivotField compact="0" showAll="0"/>
    <pivotField compact="0" showAll="0">
      <items count="23">
        <item x="0"/>
        <item x="5"/>
        <item x="6"/>
        <item x="3"/>
        <item x="14"/>
        <item x="15"/>
        <item x="13"/>
        <item x="1"/>
        <item x="7"/>
        <item x="4"/>
        <item x="9"/>
        <item x="2"/>
        <item x="20"/>
        <item x="8"/>
        <item x="10"/>
        <item x="16"/>
        <item x="18"/>
        <item x="11"/>
        <item x="19"/>
        <item x="12"/>
        <item x="17"/>
        <item x="2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axis="axisRow" compact="0" showAll="0">
      <items count="3">
        <item x="0"/>
        <item x="1"/>
        <item t="default"/>
      </items>
    </pivotField>
  </pivotFields>
  <rowFields count="2">
    <field x="30"/>
    <field x="3"/>
  </rowFields>
  <rowItems count="7">
    <i>
      <x/>
    </i>
    <i r="1">
      <x/>
    </i>
    <i r="1">
      <x v="1"/>
    </i>
    <i>
      <x v="1"/>
    </i>
    <i r="1">
      <x/>
    </i>
    <i r="1">
      <x v="1"/>
    </i>
    <i t="grand">
      <x/>
    </i>
  </rowItems>
  <colFields count="1">
    <field x="-2"/>
  </colFields>
  <colItems count="3">
    <i>
      <x/>
    </i>
    <i i="1">
      <x v="1"/>
    </i>
    <i i="2">
      <x v="2"/>
    </i>
  </colItems>
  <dataFields count="3">
    <dataField name="计数项:项目名称" fld="1" subtotal="count" baseField="0" baseItem="0"/>
    <dataField name="求和项:计划总投资" fld="11" baseField="0" baseItem="0"/>
    <dataField name="求和项:2025年计划投资" fld="19" baseField="0" baseItem="0"/>
  </dataFields>
  <formats count="2">
    <format dxfId="8">
      <pivotArea collapsedLevelsAreSubtotals="1" fieldPosition="0">
        <references count="1">
          <reference field="4294967294" count="1" selected="0">
            <x v="1"/>
          </reference>
        </references>
      </pivotArea>
    </format>
    <format dxfId="9">
      <pivotArea collapsedLevelsAreSubtotals="1" fieldPosition="0">
        <references count="1">
          <reference field="4294967294" count="1" selected="0">
            <x v="2"/>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6"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84:G85" firstHeaderRow="0" firstDataRow="1" firstDataCol="0"/>
  <pivotFields count="31">
    <pivotField compact="0" showAll="0">
      <items count="18">
        <item x="0"/>
        <item x="1"/>
        <item x="2"/>
        <item x="3"/>
        <item x="4"/>
        <item x="5"/>
        <item x="6"/>
        <item x="7"/>
        <item x="8"/>
        <item x="9"/>
        <item x="10"/>
        <item x="11"/>
        <item x="12"/>
        <item x="13"/>
        <item x="14"/>
        <item x="15"/>
        <item x="16"/>
        <item t="default"/>
      </items>
    </pivotField>
    <pivotField compact="0" showAll="0">
      <items count="27">
        <item x="0"/>
        <item x="8"/>
        <item x="17"/>
        <item x="24"/>
        <item x="21"/>
        <item x="5"/>
        <item x="13"/>
        <item x="10"/>
        <item x="7"/>
        <item x="11"/>
        <item x="23"/>
        <item x="16"/>
        <item x="15"/>
        <item x="3"/>
        <item x="9"/>
        <item x="22"/>
        <item x="19"/>
        <item x="6"/>
        <item x="2"/>
        <item x="1"/>
        <item x="12"/>
        <item x="14"/>
        <item x="20"/>
        <item x="18"/>
        <item x="25"/>
        <item x="4"/>
        <item t="default"/>
      </items>
    </pivotField>
    <pivotField compact="0" showAll="0">
      <items count="3">
        <item x="0"/>
        <item x="1"/>
        <item t="default"/>
      </items>
    </pivotField>
    <pivotField compact="0" showAll="0">
      <items count="3">
        <item x="1"/>
        <item x="0"/>
        <item t="default"/>
      </items>
    </pivotField>
    <pivotField compact="0" showAll="0">
      <items count="10">
        <item x="6"/>
        <item x="1"/>
        <item x="3"/>
        <item x="0"/>
        <item x="2"/>
        <item x="7"/>
        <item x="8"/>
        <item x="5"/>
        <item x="4"/>
        <item t="default"/>
      </items>
    </pivotField>
    <pivotField compact="0" showAll="0">
      <items count="27">
        <item x="3"/>
        <item x="16"/>
        <item x="11"/>
        <item x="19"/>
        <item x="6"/>
        <item x="10"/>
        <item x="1"/>
        <item x="12"/>
        <item x="22"/>
        <item x="8"/>
        <item x="7"/>
        <item x="21"/>
        <item x="13"/>
        <item x="24"/>
        <item x="9"/>
        <item x="4"/>
        <item x="14"/>
        <item x="5"/>
        <item x="20"/>
        <item x="0"/>
        <item x="2"/>
        <item x="15"/>
        <item x="17"/>
        <item x="18"/>
        <item x="23"/>
        <item x="25"/>
        <item t="default"/>
      </items>
    </pivotField>
    <pivotField compact="0" showAll="0">
      <items count="23">
        <item x="16"/>
        <item x="10"/>
        <item x="1"/>
        <item x="11"/>
        <item x="6"/>
        <item x="15"/>
        <item x="12"/>
        <item x="7"/>
        <item x="17"/>
        <item x="0"/>
        <item x="2"/>
        <item x="5"/>
        <item x="3"/>
        <item x="4"/>
        <item x="20"/>
        <item x="18"/>
        <item x="19"/>
        <item x="14"/>
        <item x="9"/>
        <item x="13"/>
        <item x="8"/>
        <item x="21"/>
        <item t="default"/>
      </items>
    </pivotField>
    <pivotField compact="0" showAll="0">
      <items count="4">
        <item x="2"/>
        <item x="0"/>
        <item x="1"/>
        <item t="default"/>
      </items>
    </pivotField>
    <pivotField compact="0" showAll="0">
      <items count="5">
        <item x="3"/>
        <item x="0"/>
        <item x="2"/>
        <item x="1"/>
        <item t="default"/>
      </items>
    </pivotField>
    <pivotField compact="0" showAll="0">
      <items count="7">
        <item x="0"/>
        <item x="1"/>
        <item x="3"/>
        <item x="2"/>
        <item x="4"/>
        <item x="5"/>
        <item t="default"/>
      </items>
    </pivotField>
    <pivotField compact="0" showAll="0">
      <items count="26">
        <item x="6"/>
        <item x="16"/>
        <item x="13"/>
        <item x="4"/>
        <item x="3"/>
        <item x="9"/>
        <item x="1"/>
        <item x="8"/>
        <item x="14"/>
        <item x="2"/>
        <item x="5"/>
        <item x="19"/>
        <item x="7"/>
        <item x="22"/>
        <item x="20"/>
        <item x="21"/>
        <item x="0"/>
        <item x="10"/>
        <item x="11"/>
        <item x="12"/>
        <item x="17"/>
        <item x="18"/>
        <item x="23"/>
        <item x="15"/>
        <item x="24"/>
        <item t="default"/>
      </items>
    </pivotField>
    <pivotField dataField="1" compact="0" showAll="0">
      <items count="27">
        <item x="20"/>
        <item x="24"/>
        <item x="10"/>
        <item x="21"/>
        <item x="9"/>
        <item x="8"/>
        <item x="16"/>
        <item x="11"/>
        <item x="12"/>
        <item x="15"/>
        <item x="2"/>
        <item x="7"/>
        <item x="14"/>
        <item x="5"/>
        <item x="13"/>
        <item x="3"/>
        <item x="6"/>
        <item x="0"/>
        <item x="1"/>
        <item x="17"/>
        <item x="18"/>
        <item x="19"/>
        <item x="22"/>
        <item x="23"/>
        <item x="25"/>
        <item x="4"/>
        <item t="default"/>
      </items>
    </pivotField>
    <pivotField dataField="1" compact="0" showAll="0">
      <items count="4">
        <item x="0"/>
        <item x="1"/>
        <item x="2"/>
        <item t="default"/>
      </items>
    </pivotField>
    <pivotField dataField="1" compact="0" showAll="0">
      <items count="10">
        <item x="2"/>
        <item x="6"/>
        <item x="7"/>
        <item x="5"/>
        <item x="0"/>
        <item x="3"/>
        <item x="1"/>
        <item x="4"/>
        <item x="8"/>
        <item t="default"/>
      </items>
    </pivotField>
    <pivotField dataField="1" compact="0" showAll="0">
      <items count="8">
        <item x="0"/>
        <item x="6"/>
        <item x="1"/>
        <item x="4"/>
        <item x="5"/>
        <item x="2"/>
        <item x="3"/>
        <item t="default"/>
      </items>
    </pivotField>
    <pivotField dataField="1" compact="0" showAll="0">
      <items count="21">
        <item x="0"/>
        <item x="14"/>
        <item x="15"/>
        <item x="6"/>
        <item x="5"/>
        <item x="10"/>
        <item x="1"/>
        <item x="9"/>
        <item x="3"/>
        <item x="8"/>
        <item x="2"/>
        <item x="7"/>
        <item x="4"/>
        <item x="11"/>
        <item x="12"/>
        <item x="13"/>
        <item x="16"/>
        <item x="17"/>
        <item x="18"/>
        <item x="19"/>
        <item t="default"/>
      </items>
    </pivotField>
    <pivotField dataField="1" compact="0" showAll="0">
      <items count="16">
        <item x="5"/>
        <item x="8"/>
        <item x="13"/>
        <item x="9"/>
        <item x="2"/>
        <item x="12"/>
        <item x="11"/>
        <item x="10"/>
        <item x="3"/>
        <item x="6"/>
        <item x="0"/>
        <item x="1"/>
        <item x="7"/>
        <item x="14"/>
        <item x="4"/>
        <item t="default"/>
      </items>
    </pivotField>
    <pivotField dataField="1" compact="0" showAll="0">
      <items count="4">
        <item x="0"/>
        <item x="2"/>
        <item x="1"/>
        <item t="default"/>
      </items>
    </pivotField>
    <pivotField compact="0" showAll="0">
      <items count="19">
        <item x="17"/>
        <item x="2"/>
        <item x="10"/>
        <item x="7"/>
        <item x="11"/>
        <item x="16"/>
        <item x="5"/>
        <item x="4"/>
        <item x="1"/>
        <item x="0"/>
        <item x="12"/>
        <item x="3"/>
        <item x="6"/>
        <item x="8"/>
        <item x="9"/>
        <item x="13"/>
        <item x="14"/>
        <item x="15"/>
        <item t="default"/>
      </items>
    </pivotField>
    <pivotField compact="0" showAll="0">
      <items count="24">
        <item x="9"/>
        <item x="15"/>
        <item x="18"/>
        <item x="2"/>
        <item x="0"/>
        <item x="8"/>
        <item x="14"/>
        <item x="7"/>
        <item x="6"/>
        <item x="3"/>
        <item x="13"/>
        <item x="11"/>
        <item x="1"/>
        <item x="4"/>
        <item x="5"/>
        <item x="10"/>
        <item x="12"/>
        <item x="16"/>
        <item x="17"/>
        <item x="19"/>
        <item x="20"/>
        <item x="21"/>
        <item x="22"/>
        <item t="default"/>
      </items>
    </pivotField>
    <pivotField compact="0" showAll="0">
      <items count="2">
        <item x="0"/>
        <item t="default"/>
      </items>
    </pivotField>
    <pivotField compact="0" showAll="0">
      <items count="7">
        <item x="0"/>
        <item x="4"/>
        <item x="5"/>
        <item x="1"/>
        <item x="2"/>
        <item x="3"/>
        <item t="default"/>
      </items>
    </pivotField>
    <pivotField compact="0" showAll="0">
      <items count="6">
        <item x="0"/>
        <item x="1"/>
        <item x="3"/>
        <item x="2"/>
        <item x="4"/>
        <item t="default"/>
      </items>
    </pivotField>
    <pivotField compact="0" showAll="0">
      <items count="13">
        <item x="0"/>
        <item x="8"/>
        <item x="4"/>
        <item x="1"/>
        <item x="3"/>
        <item x="2"/>
        <item x="6"/>
        <item x="7"/>
        <item x="9"/>
        <item x="10"/>
        <item x="5"/>
        <item x="11"/>
        <item t="default"/>
      </items>
    </pivotField>
    <pivotField compact="0" showAll="0">
      <items count="13">
        <item x="2"/>
        <item x="5"/>
        <item x="8"/>
        <item x="0"/>
        <item x="1"/>
        <item x="9"/>
        <item x="4"/>
        <item x="6"/>
        <item x="10"/>
        <item x="7"/>
        <item x="11"/>
        <item x="3"/>
        <item t="default"/>
      </items>
    </pivotField>
    <pivotField compact="0" showAll="0"/>
    <pivotField compact="0" showAll="0">
      <items count="23">
        <item x="0"/>
        <item x="5"/>
        <item x="6"/>
        <item x="3"/>
        <item x="14"/>
        <item x="15"/>
        <item x="13"/>
        <item x="1"/>
        <item x="7"/>
        <item x="4"/>
        <item x="2"/>
        <item x="20"/>
        <item x="8"/>
        <item x="10"/>
        <item x="16"/>
        <item x="18"/>
        <item x="11"/>
        <item x="19"/>
        <item x="12"/>
        <item x="17"/>
        <item x="9"/>
        <item x="2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s>
  <rowItems count="1">
    <i/>
  </rowItems>
  <colFields count="1">
    <field x="-2"/>
  </colFields>
  <colItems count="7">
    <i>
      <x/>
    </i>
    <i i="1">
      <x v="1"/>
    </i>
    <i i="2">
      <x v="2"/>
    </i>
    <i i="3">
      <x v="3"/>
    </i>
    <i i="4">
      <x v="4"/>
    </i>
    <i i="5">
      <x v="5"/>
    </i>
    <i i="6">
      <x v="6"/>
    </i>
  </colItems>
  <dataFields count="7">
    <dataField name="求和项:计划总投资" fld="11" baseField="0" baseItem="0"/>
    <dataField name="求和项:中省资金" fld="12" baseField="0" baseItem="0"/>
    <dataField name="求和项:专项债/一般债" fld="13" baseField="0" baseItem="0"/>
    <dataField name="求和项:国债/基金" fld="14" baseField="0" baseItem="0"/>
    <dataField name="求和项:自有资金" fld="15" baseField="0" baseItem="0"/>
    <dataField name="求和项:融资资金" fld="16" baseField="0" baseItem="0"/>
    <dataField name="求和项:其他资金" fld="17" baseField="0" baseItem="0"/>
  </dataFields>
  <formats count="1">
    <format dxfId="10">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7"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89:G90" firstHeaderRow="0" firstDataRow="1" firstDataCol="0"/>
  <pivotFields count="31">
    <pivotField compact="0" showAll="0">
      <items count="18">
        <item x="0"/>
        <item x="1"/>
        <item x="2"/>
        <item x="3"/>
        <item x="4"/>
        <item x="5"/>
        <item x="6"/>
        <item x="7"/>
        <item x="8"/>
        <item x="9"/>
        <item x="10"/>
        <item x="11"/>
        <item x="12"/>
        <item x="13"/>
        <item x="14"/>
        <item x="15"/>
        <item x="16"/>
        <item t="default"/>
      </items>
    </pivotField>
    <pivotField compact="0" showAll="0">
      <items count="27">
        <item x="18"/>
        <item x="0"/>
        <item x="8"/>
        <item x="17"/>
        <item x="24"/>
        <item x="21"/>
        <item x="5"/>
        <item x="13"/>
        <item x="10"/>
        <item x="7"/>
        <item x="11"/>
        <item x="23"/>
        <item x="16"/>
        <item x="15"/>
        <item x="3"/>
        <item x="9"/>
        <item x="22"/>
        <item x="19"/>
        <item x="6"/>
        <item x="2"/>
        <item x="1"/>
        <item x="12"/>
        <item x="14"/>
        <item x="20"/>
        <item x="25"/>
        <item x="4"/>
        <item t="default"/>
      </items>
    </pivotField>
    <pivotField compact="0" showAll="0">
      <items count="3">
        <item x="0"/>
        <item x="1"/>
        <item t="default"/>
      </items>
    </pivotField>
    <pivotField compact="0" showAll="0">
      <items count="3">
        <item x="1"/>
        <item x="0"/>
        <item t="default"/>
      </items>
    </pivotField>
    <pivotField compact="0" showAll="0">
      <items count="10">
        <item x="6"/>
        <item x="1"/>
        <item x="3"/>
        <item x="0"/>
        <item x="2"/>
        <item x="7"/>
        <item x="8"/>
        <item x="5"/>
        <item x="4"/>
        <item t="default"/>
      </items>
    </pivotField>
    <pivotField compact="0" showAll="0">
      <items count="27">
        <item x="3"/>
        <item x="23"/>
        <item x="18"/>
        <item x="0"/>
        <item x="16"/>
        <item x="11"/>
        <item x="19"/>
        <item x="6"/>
        <item x="10"/>
        <item x="2"/>
        <item x="1"/>
        <item x="12"/>
        <item x="22"/>
        <item x="15"/>
        <item x="8"/>
        <item x="7"/>
        <item x="17"/>
        <item x="21"/>
        <item x="13"/>
        <item x="24"/>
        <item x="9"/>
        <item x="4"/>
        <item x="14"/>
        <item x="5"/>
        <item x="20"/>
        <item x="25"/>
        <item t="default"/>
      </items>
    </pivotField>
    <pivotField compact="0" showAll="0">
      <items count="23">
        <item x="16"/>
        <item x="10"/>
        <item x="1"/>
        <item x="11"/>
        <item x="6"/>
        <item x="15"/>
        <item x="12"/>
        <item x="7"/>
        <item x="17"/>
        <item x="0"/>
        <item x="2"/>
        <item x="5"/>
        <item x="3"/>
        <item x="4"/>
        <item x="20"/>
        <item x="18"/>
        <item x="19"/>
        <item x="14"/>
        <item x="9"/>
        <item x="13"/>
        <item x="8"/>
        <item x="21"/>
        <item t="default"/>
      </items>
    </pivotField>
    <pivotField compact="0" showAll="0">
      <items count="4">
        <item x="2"/>
        <item x="0"/>
        <item x="1"/>
        <item t="default"/>
      </items>
    </pivotField>
    <pivotField compact="0" showAll="0">
      <items count="5">
        <item x="3"/>
        <item x="0"/>
        <item x="2"/>
        <item x="1"/>
        <item t="default"/>
      </items>
    </pivotField>
    <pivotField compact="0" showAll="0">
      <items count="7">
        <item x="0"/>
        <item x="1"/>
        <item x="3"/>
        <item x="2"/>
        <item x="4"/>
        <item x="5"/>
        <item t="default"/>
      </items>
    </pivotField>
    <pivotField compact="0" showAll="0">
      <items count="26">
        <item x="0"/>
        <item x="6"/>
        <item x="16"/>
        <item x="12"/>
        <item x="13"/>
        <item x="4"/>
        <item x="11"/>
        <item x="3"/>
        <item x="9"/>
        <item x="15"/>
        <item x="1"/>
        <item x="8"/>
        <item x="14"/>
        <item x="10"/>
        <item x="2"/>
        <item x="5"/>
        <item x="23"/>
        <item x="19"/>
        <item x="7"/>
        <item x="22"/>
        <item x="20"/>
        <item x="21"/>
        <item x="18"/>
        <item x="17"/>
        <item x="24"/>
        <item t="default"/>
      </items>
    </pivotField>
    <pivotField compact="0" showAll="0">
      <items count="27">
        <item x="22"/>
        <item x="23"/>
        <item x="20"/>
        <item x="24"/>
        <item x="10"/>
        <item x="19"/>
        <item x="21"/>
        <item x="18"/>
        <item x="9"/>
        <item x="8"/>
        <item x="16"/>
        <item x="11"/>
        <item x="12"/>
        <item x="17"/>
        <item x="15"/>
        <item x="2"/>
        <item x="7"/>
        <item x="14"/>
        <item x="5"/>
        <item x="13"/>
        <item x="3"/>
        <item x="6"/>
        <item x="0"/>
        <item x="1"/>
        <item x="25"/>
        <item x="4"/>
        <item t="default"/>
      </items>
    </pivotField>
    <pivotField compact="0" showAll="0">
      <items count="4">
        <item x="0"/>
        <item x="1"/>
        <item x="2"/>
        <item t="default"/>
      </items>
    </pivotField>
    <pivotField compact="0" showAll="0">
      <items count="10">
        <item x="2"/>
        <item x="6"/>
        <item x="8"/>
        <item x="7"/>
        <item x="5"/>
        <item x="0"/>
        <item x="4"/>
        <item x="3"/>
        <item x="1"/>
        <item t="default"/>
      </items>
    </pivotField>
    <pivotField compact="0" showAll="0">
      <items count="8">
        <item x="0"/>
        <item x="6"/>
        <item x="1"/>
        <item x="4"/>
        <item x="5"/>
        <item x="2"/>
        <item x="3"/>
        <item t="default"/>
      </items>
    </pivotField>
    <pivotField compact="0" showAll="0">
      <items count="21">
        <item x="0"/>
        <item x="16"/>
        <item x="17"/>
        <item x="14"/>
        <item x="15"/>
        <item x="18"/>
        <item x="6"/>
        <item x="5"/>
        <item x="10"/>
        <item x="1"/>
        <item x="13"/>
        <item x="11"/>
        <item x="12"/>
        <item x="9"/>
        <item x="3"/>
        <item x="8"/>
        <item x="2"/>
        <item x="7"/>
        <item x="4"/>
        <item x="19"/>
        <item t="default"/>
      </items>
    </pivotField>
    <pivotField compact="0" showAll="0">
      <items count="16">
        <item x="5"/>
        <item x="8"/>
        <item x="13"/>
        <item x="9"/>
        <item x="7"/>
        <item x="2"/>
        <item x="12"/>
        <item x="11"/>
        <item x="10"/>
        <item x="3"/>
        <item x="6"/>
        <item x="0"/>
        <item x="1"/>
        <item x="14"/>
        <item x="4"/>
        <item t="default"/>
      </items>
    </pivotField>
    <pivotField compact="0" showAll="0"/>
    <pivotField compact="0" showAll="0">
      <items count="19">
        <item x="17"/>
        <item x="2"/>
        <item x="10"/>
        <item x="7"/>
        <item x="8"/>
        <item x="9"/>
        <item x="11"/>
        <item x="14"/>
        <item x="16"/>
        <item x="15"/>
        <item x="12"/>
        <item x="5"/>
        <item x="13"/>
        <item x="3"/>
        <item x="6"/>
        <item x="4"/>
        <item x="1"/>
        <item x="0"/>
        <item t="default"/>
      </items>
    </pivotField>
    <pivotField dataField="1" compact="0" showAll="0">
      <items count="24">
        <item x="9"/>
        <item x="15"/>
        <item x="18"/>
        <item x="2"/>
        <item x="0"/>
        <item x="8"/>
        <item x="14"/>
        <item x="7"/>
        <item x="6"/>
        <item x="3"/>
        <item x="13"/>
        <item x="11"/>
        <item x="1"/>
        <item x="4"/>
        <item x="5"/>
        <item x="10"/>
        <item x="12"/>
        <item x="16"/>
        <item x="17"/>
        <item x="19"/>
        <item x="20"/>
        <item x="21"/>
        <item x="22"/>
        <item t="default"/>
      </items>
    </pivotField>
    <pivotField dataField="1" compact="0" showAll="0">
      <items count="2">
        <item x="0"/>
        <item t="default"/>
      </items>
    </pivotField>
    <pivotField dataField="1" compact="0" showAll="0">
      <items count="7">
        <item x="0"/>
        <item x="4"/>
        <item x="5"/>
        <item x="1"/>
        <item x="2"/>
        <item x="3"/>
        <item t="default"/>
      </items>
    </pivotField>
    <pivotField dataField="1" compact="0" showAll="0">
      <items count="6">
        <item x="0"/>
        <item x="1"/>
        <item x="3"/>
        <item x="2"/>
        <item x="4"/>
        <item t="default"/>
      </items>
    </pivotField>
    <pivotField dataField="1" compact="0" showAll="0">
      <items count="13">
        <item x="0"/>
        <item x="8"/>
        <item x="4"/>
        <item x="1"/>
        <item x="3"/>
        <item x="2"/>
        <item x="6"/>
        <item x="7"/>
        <item x="9"/>
        <item x="10"/>
        <item x="5"/>
        <item x="11"/>
        <item t="default"/>
      </items>
    </pivotField>
    <pivotField dataField="1" compact="0" showAll="0">
      <items count="13">
        <item x="2"/>
        <item x="5"/>
        <item x="8"/>
        <item x="0"/>
        <item x="1"/>
        <item x="9"/>
        <item x="4"/>
        <item x="6"/>
        <item x="10"/>
        <item x="7"/>
        <item x="11"/>
        <item x="3"/>
        <item t="default"/>
      </items>
    </pivotField>
    <pivotField dataField="1" compact="0" showAll="0">
      <items count="3">
        <item x="0"/>
        <item x="1"/>
        <item t="default"/>
      </items>
    </pivotField>
    <pivotField compact="0" showAll="0">
      <items count="23">
        <item x="0"/>
        <item x="5"/>
        <item x="6"/>
        <item x="3"/>
        <item x="14"/>
        <item x="15"/>
        <item x="13"/>
        <item x="1"/>
        <item x="7"/>
        <item x="4"/>
        <item x="9"/>
        <item x="2"/>
        <item x="20"/>
        <item x="8"/>
        <item x="10"/>
        <item x="16"/>
        <item x="18"/>
        <item x="11"/>
        <item x="19"/>
        <item x="12"/>
        <item x="17"/>
        <item x="2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s>
  <rowItems count="1">
    <i/>
  </rowItems>
  <colFields count="1">
    <field x="-2"/>
  </colFields>
  <colItems count="7">
    <i>
      <x/>
    </i>
    <i i="1">
      <x v="1"/>
    </i>
    <i i="2">
      <x v="2"/>
    </i>
    <i i="3">
      <x v="3"/>
    </i>
    <i i="4">
      <x v="4"/>
    </i>
    <i i="5">
      <x v="5"/>
    </i>
    <i i="6">
      <x v="6"/>
    </i>
  </colItems>
  <dataFields count="7">
    <dataField name="求和项:2025年计划投资" fld="19" baseField="0" baseItem="0"/>
    <dataField name="求和项:中省资金2" fld="20" baseField="0" baseItem="0"/>
    <dataField name="求和项:专项债/一般债2" fld="21" baseField="0" baseItem="0"/>
    <dataField name="求和项:国债/基金2" fld="22" baseField="0" baseItem="0"/>
    <dataField name="求和项:自有资金2" fld="23" baseField="0" baseItem="0"/>
    <dataField name="求和项:融资资金2" fld="24" baseField="0" baseItem="0"/>
    <dataField name="求和项:其他资金2" fld="25" baseField="0" baseItem="0"/>
  </dataFields>
  <formats count="1">
    <format dxfId="11">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V6"/>
  <sheetViews>
    <sheetView tabSelected="1" zoomScale="60" zoomScaleNormal="60" workbookViewId="0">
      <pane xSplit="2" ySplit="5" topLeftCell="F6" activePane="bottomRight" state="frozen"/>
      <selection/>
      <selection pane="topRight"/>
      <selection pane="bottomLeft"/>
      <selection pane="bottomRight" activeCell="N6" sqref="N6"/>
    </sheetView>
  </sheetViews>
  <sheetFormatPr defaultColWidth="9" defaultRowHeight="20.4" outlineLevelRow="5"/>
  <cols>
    <col min="1" max="1" width="8.62962962962963" style="2" customWidth="1"/>
    <col min="2" max="2" width="20.7592592592593" style="2" customWidth="1"/>
    <col min="3" max="3" width="15.6296296296296" style="3" customWidth="1"/>
    <col min="4" max="5" width="15.6296296296296" style="2" customWidth="1"/>
    <col min="6" max="6" width="51.5648148148148" style="4" customWidth="1"/>
    <col min="7" max="9" width="15.6296296296296" style="2" customWidth="1"/>
    <col min="10" max="10" width="15.6296296296296" style="3" customWidth="1"/>
    <col min="11" max="16" width="15.6296296296296" style="2" customWidth="1"/>
    <col min="17" max="17" width="31.25" style="2" customWidth="1"/>
    <col min="18" max="18" width="25.5" style="2" customWidth="1"/>
    <col min="19" max="21" width="4.62962962962963" style="2" customWidth="1"/>
    <col min="22" max="22" width="9" style="78" customWidth="1"/>
    <col min="23" max="16384" width="9" style="1"/>
  </cols>
  <sheetData>
    <row r="1" ht="40" customHeight="1" spans="1:22">
      <c r="A1" s="79" t="s">
        <v>0</v>
      </c>
      <c r="B1" s="79"/>
      <c r="C1" s="79"/>
      <c r="D1" s="79"/>
      <c r="E1" s="79"/>
      <c r="F1" s="80"/>
      <c r="G1" s="79"/>
      <c r="H1" s="79"/>
      <c r="I1" s="79"/>
      <c r="J1" s="79"/>
      <c r="K1" s="79"/>
      <c r="L1" s="79"/>
      <c r="M1" s="79"/>
      <c r="N1" s="79"/>
      <c r="O1" s="79"/>
      <c r="P1" s="79"/>
      <c r="Q1" s="79"/>
      <c r="R1" s="79"/>
      <c r="S1" s="79"/>
      <c r="T1" s="79"/>
      <c r="U1" s="79"/>
      <c r="V1" s="79"/>
    </row>
    <row r="2" ht="26" customHeight="1" spans="1:22">
      <c r="A2" s="81" t="s">
        <v>1</v>
      </c>
      <c r="B2" s="81"/>
      <c r="C2" s="81"/>
      <c r="D2" s="81"/>
      <c r="E2" s="81"/>
      <c r="F2" s="82"/>
      <c r="G2" s="81"/>
      <c r="H2" s="81"/>
      <c r="I2" s="81"/>
      <c r="J2" s="81"/>
      <c r="K2" s="81"/>
      <c r="L2" s="81"/>
      <c r="M2" s="81"/>
      <c r="N2" s="81"/>
      <c r="O2" s="81"/>
      <c r="P2" s="81"/>
      <c r="Q2" s="81"/>
      <c r="R2" s="81"/>
      <c r="S2" s="81"/>
      <c r="T2" s="81"/>
      <c r="U2" s="81"/>
      <c r="V2" s="81"/>
    </row>
    <row r="3" ht="50" customHeight="1" spans="1:22">
      <c r="A3" s="83" t="s">
        <v>2</v>
      </c>
      <c r="B3" s="83" t="s">
        <v>3</v>
      </c>
      <c r="C3" s="83" t="s">
        <v>4</v>
      </c>
      <c r="D3" s="83" t="s">
        <v>5</v>
      </c>
      <c r="E3" s="83" t="s">
        <v>6</v>
      </c>
      <c r="F3" s="83" t="s">
        <v>7</v>
      </c>
      <c r="G3" s="83" t="s">
        <v>8</v>
      </c>
      <c r="H3" s="83" t="s">
        <v>9</v>
      </c>
      <c r="I3" s="83" t="s">
        <v>10</v>
      </c>
      <c r="J3" s="83" t="s">
        <v>11</v>
      </c>
      <c r="K3" s="83" t="s">
        <v>12</v>
      </c>
      <c r="L3" s="83" t="s">
        <v>13</v>
      </c>
      <c r="M3" s="83" t="s">
        <v>14</v>
      </c>
      <c r="N3" s="84" t="s">
        <v>15</v>
      </c>
      <c r="O3" s="84" t="s">
        <v>16</v>
      </c>
      <c r="P3" s="85" t="s">
        <v>17</v>
      </c>
      <c r="Q3" s="85" t="s">
        <v>18</v>
      </c>
      <c r="R3" s="83" t="s">
        <v>19</v>
      </c>
      <c r="S3" s="86" t="s">
        <v>20</v>
      </c>
      <c r="T3" s="87"/>
      <c r="U3" s="88"/>
      <c r="V3" s="83" t="s">
        <v>21</v>
      </c>
    </row>
    <row r="4" ht="50" customHeight="1" spans="1:22">
      <c r="A4" s="89"/>
      <c r="B4" s="89"/>
      <c r="C4" s="89"/>
      <c r="D4" s="89"/>
      <c r="E4" s="89"/>
      <c r="F4" s="89"/>
      <c r="G4" s="89"/>
      <c r="H4" s="89"/>
      <c r="I4" s="89"/>
      <c r="J4" s="89"/>
      <c r="K4" s="89"/>
      <c r="L4" s="89"/>
      <c r="M4" s="89"/>
      <c r="N4" s="90"/>
      <c r="O4" s="90"/>
      <c r="P4" s="90"/>
      <c r="Q4" s="90"/>
      <c r="R4" s="89"/>
      <c r="S4" s="83" t="s">
        <v>22</v>
      </c>
      <c r="T4" s="83" t="s">
        <v>23</v>
      </c>
      <c r="U4" s="83" t="s">
        <v>24</v>
      </c>
      <c r="V4" s="89"/>
    </row>
    <row r="5" ht="99" customHeight="1" spans="1:22">
      <c r="A5" s="91"/>
      <c r="B5" s="91"/>
      <c r="C5" s="91"/>
      <c r="D5" s="91"/>
      <c r="E5" s="91"/>
      <c r="F5" s="91"/>
      <c r="G5" s="91"/>
      <c r="H5" s="91"/>
      <c r="I5" s="91"/>
      <c r="J5" s="91"/>
      <c r="K5" s="91"/>
      <c r="L5" s="91"/>
      <c r="M5" s="91"/>
      <c r="N5" s="92"/>
      <c r="O5" s="92"/>
      <c r="P5" s="92"/>
      <c r="Q5" s="92"/>
      <c r="R5" s="91"/>
      <c r="S5" s="91"/>
      <c r="T5" s="91"/>
      <c r="U5" s="91"/>
      <c r="V5" s="91"/>
    </row>
    <row r="6" customFormat="1" ht="351" customHeight="1" spans="1:22">
      <c r="A6" s="93">
        <v>3</v>
      </c>
      <c r="B6" s="94" t="s">
        <v>25</v>
      </c>
      <c r="C6" s="95" t="s">
        <v>26</v>
      </c>
      <c r="D6" s="95" t="s">
        <v>27</v>
      </c>
      <c r="E6" s="93" t="s">
        <v>28</v>
      </c>
      <c r="F6" s="96" t="s">
        <v>29</v>
      </c>
      <c r="G6" s="94" t="s">
        <v>30</v>
      </c>
      <c r="H6" s="95" t="s">
        <v>31</v>
      </c>
      <c r="I6" s="95" t="s">
        <v>32</v>
      </c>
      <c r="J6" s="95" t="s">
        <v>33</v>
      </c>
      <c r="K6" s="95" t="s">
        <v>34</v>
      </c>
      <c r="L6" s="97">
        <v>19320.33</v>
      </c>
      <c r="M6" s="97">
        <v>7500</v>
      </c>
      <c r="N6" s="98"/>
      <c r="O6" s="97"/>
      <c r="P6" s="97"/>
      <c r="Q6" s="99"/>
      <c r="R6" s="95" t="s">
        <v>35</v>
      </c>
      <c r="S6" s="95" t="s">
        <v>36</v>
      </c>
      <c r="T6" s="95"/>
      <c r="U6" s="95"/>
      <c r="V6" s="95" t="s">
        <v>37</v>
      </c>
    </row>
  </sheetData>
  <mergeCells count="25">
    <mergeCell ref="A1:V1"/>
    <mergeCell ref="A2:V2"/>
    <mergeCell ref="S3:U3"/>
    <mergeCell ref="A3:A5"/>
    <mergeCell ref="B3:B5"/>
    <mergeCell ref="C3:C5"/>
    <mergeCell ref="D3:D5"/>
    <mergeCell ref="E3:E5"/>
    <mergeCell ref="F3:F5"/>
    <mergeCell ref="G3:G5"/>
    <mergeCell ref="H3:H5"/>
    <mergeCell ref="I3:I5"/>
    <mergeCell ref="J3:J5"/>
    <mergeCell ref="K3:K5"/>
    <mergeCell ref="L3:L5"/>
    <mergeCell ref="M3:M5"/>
    <mergeCell ref="N3:N5"/>
    <mergeCell ref="O3:O5"/>
    <mergeCell ref="P3:P5"/>
    <mergeCell ref="Q3:Q5"/>
    <mergeCell ref="R3:R5"/>
    <mergeCell ref="S4:S5"/>
    <mergeCell ref="T4:T5"/>
    <mergeCell ref="U4:U5"/>
    <mergeCell ref="V3:V5"/>
  </mergeCells>
  <pageMargins left="0.354166666666667" right="0.275" top="0.629861111111111" bottom="0.511805555555556" header="0.5" footer="0.5"/>
  <pageSetup paperSize="8" scale="42" fitToHeight="0" orientation="landscape"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Q90"/>
  <sheetViews>
    <sheetView zoomScale="90" zoomScaleNormal="90" topLeftCell="A58" workbookViewId="0">
      <selection activeCell="A105" sqref="A105"/>
    </sheetView>
  </sheetViews>
  <sheetFormatPr defaultColWidth="9" defaultRowHeight="14.4"/>
  <cols>
    <col min="1" max="7" width="22.6296296296296"/>
    <col min="8" max="8" width="12.6296296296296"/>
    <col min="9" max="9" width="10.2592592592593" customWidth="1"/>
    <col min="10" max="10" width="11.1296296296296" customWidth="1"/>
    <col min="11" max="11" width="9.37962962962963" customWidth="1"/>
    <col min="12" max="12" width="8" customWidth="1"/>
    <col min="13" max="13" width="8.37962962962963" customWidth="1"/>
    <col min="14" max="14" width="9.62962962962963" customWidth="1"/>
    <col min="15" max="23" width="5.62962962962963" customWidth="1"/>
    <col min="24" max="44" width="65.1296296296296"/>
    <col min="45" max="45" width="5.12962962962963"/>
  </cols>
  <sheetData>
    <row r="1" ht="13.5" customHeight="1"/>
    <row r="2" ht="13.5" customHeight="1"/>
    <row r="3" spans="1:4">
      <c r="A3" t="s">
        <v>6</v>
      </c>
      <c r="B3" t="s">
        <v>38</v>
      </c>
      <c r="C3" t="s">
        <v>39</v>
      </c>
      <c r="D3" t="s">
        <v>40</v>
      </c>
    </row>
    <row r="4" spans="1:4">
      <c r="A4" t="s">
        <v>41</v>
      </c>
      <c r="B4">
        <v>1</v>
      </c>
      <c r="C4" s="55">
        <v>33.809</v>
      </c>
      <c r="D4" s="55">
        <v>0.3</v>
      </c>
    </row>
    <row r="5" spans="1:4">
      <c r="A5" t="s">
        <v>28</v>
      </c>
      <c r="B5">
        <v>3</v>
      </c>
      <c r="C5" s="55">
        <v>2.7506</v>
      </c>
      <c r="D5" s="55">
        <v>1.0706</v>
      </c>
    </row>
    <row r="6" spans="1:4">
      <c r="A6" t="s">
        <v>42</v>
      </c>
      <c r="B6">
        <v>6</v>
      </c>
      <c r="C6" s="55">
        <v>75.185</v>
      </c>
      <c r="D6" s="55">
        <v>9.1</v>
      </c>
    </row>
    <row r="7" spans="1:4">
      <c r="A7" t="s">
        <v>43</v>
      </c>
      <c r="B7">
        <v>7</v>
      </c>
      <c r="C7" s="55">
        <v>28.749325</v>
      </c>
      <c r="D7" s="55">
        <v>5.05785</v>
      </c>
    </row>
    <row r="8" spans="1:4">
      <c r="A8" t="s">
        <v>44</v>
      </c>
      <c r="B8">
        <v>2</v>
      </c>
      <c r="C8" s="55">
        <v>3.05</v>
      </c>
      <c r="D8" s="55">
        <v>1.24</v>
      </c>
    </row>
    <row r="9" spans="1:4">
      <c r="A9" t="s">
        <v>45</v>
      </c>
      <c r="B9">
        <v>4</v>
      </c>
      <c r="C9" s="55">
        <v>1.675321</v>
      </c>
      <c r="D9" s="55">
        <v>0.6003</v>
      </c>
    </row>
    <row r="10" spans="1:4">
      <c r="A10" t="s">
        <v>46</v>
      </c>
      <c r="B10">
        <v>1</v>
      </c>
      <c r="C10" s="55">
        <v>0.12</v>
      </c>
      <c r="D10" s="55">
        <v>0.12</v>
      </c>
    </row>
    <row r="11" spans="1:4">
      <c r="A11" t="s">
        <v>47</v>
      </c>
      <c r="B11">
        <v>1</v>
      </c>
      <c r="C11" s="55">
        <v>165.024715341462</v>
      </c>
      <c r="D11" s="55">
        <v>20</v>
      </c>
    </row>
    <row r="12" spans="1:4">
      <c r="A12" t="s">
        <v>48</v>
      </c>
      <c r="B12">
        <v>1</v>
      </c>
      <c r="C12" s="55">
        <v>1.7306</v>
      </c>
      <c r="D12" s="55">
        <v>0.2179</v>
      </c>
    </row>
    <row r="13" spans="1:4">
      <c r="A13" t="s">
        <v>49</v>
      </c>
      <c r="B13">
        <v>26</v>
      </c>
      <c r="C13" s="55">
        <v>312.094561341462</v>
      </c>
      <c r="D13" s="55">
        <v>37.70665</v>
      </c>
    </row>
    <row r="15" spans="1:4">
      <c r="A15" t="s">
        <v>4</v>
      </c>
      <c r="B15" t="s">
        <v>50</v>
      </c>
    </row>
    <row r="17" spans="1:15">
      <c r="B17" t="s">
        <v>10</v>
      </c>
      <c r="G17" s="56" t="s">
        <v>51</v>
      </c>
      <c r="H17" s="57" t="s">
        <v>52</v>
      </c>
      <c r="I17" s="57" t="s">
        <v>53</v>
      </c>
      <c r="J17" s="57"/>
      <c r="K17" s="57" t="s">
        <v>54</v>
      </c>
      <c r="L17" s="57"/>
      <c r="M17" s="57" t="s">
        <v>55</v>
      </c>
      <c r="N17" s="57"/>
    </row>
    <row r="18" ht="37.2" spans="1:15">
      <c r="A18" t="s">
        <v>56</v>
      </c>
      <c r="B18" t="s">
        <v>53</v>
      </c>
      <c r="C18" t="s">
        <v>54</v>
      </c>
      <c r="D18" t="s">
        <v>55</v>
      </c>
      <c r="E18" t="s">
        <v>49</v>
      </c>
      <c r="G18" s="56"/>
      <c r="H18" s="57"/>
      <c r="I18" s="57" t="s">
        <v>57</v>
      </c>
      <c r="J18" s="58" t="s">
        <v>58</v>
      </c>
      <c r="K18" s="57" t="s">
        <v>57</v>
      </c>
      <c r="L18" s="58" t="s">
        <v>58</v>
      </c>
      <c r="M18" s="57" t="s">
        <v>57</v>
      </c>
      <c r="N18" s="58" t="s">
        <v>58</v>
      </c>
    </row>
    <row r="19" spans="1:15">
      <c r="A19" t="s">
        <v>38</v>
      </c>
      <c r="B19">
        <v>7</v>
      </c>
      <c r="C19">
        <v>5</v>
      </c>
      <c r="D19">
        <v>1</v>
      </c>
      <c r="E19">
        <v>13</v>
      </c>
      <c r="G19" s="57" t="s">
        <v>59</v>
      </c>
      <c r="H19">
        <f>GETPIVOTDATA("计数项:项目名称",$A$17)</f>
        <v>13</v>
      </c>
      <c r="I19">
        <f>GETPIVOTDATA("计数项:项目名称",$A$17,"投资结构","基础设施类")</f>
        <v>7</v>
      </c>
      <c r="J19" s="59">
        <f>I19/H19</f>
        <v>0.538461538461538</v>
      </c>
      <c r="K19">
        <f>GETPIVOTDATA("计数项:项目名称",$A$17,"投资结构","民生和社会事业类")</f>
        <v>5</v>
      </c>
      <c r="L19" s="59">
        <f>K19/H19</f>
        <v>0.384615384615385</v>
      </c>
      <c r="M19">
        <f>GETPIVOTDATA("计数项:项目名称",$A$17,"投资结构","生态环保类")</f>
        <v>1</v>
      </c>
      <c r="N19" s="59">
        <f>M19/H19</f>
        <v>0.0769230769230769</v>
      </c>
      <c r="O19">
        <f>J19+L19+N19</f>
        <v>1</v>
      </c>
    </row>
    <row r="20" spans="1:15">
      <c r="A20" t="s">
        <v>39</v>
      </c>
      <c r="B20" s="55">
        <v>227.214215341462</v>
      </c>
      <c r="C20" s="55">
        <v>32.430625</v>
      </c>
      <c r="D20" s="55">
        <v>21</v>
      </c>
      <c r="E20" s="55">
        <v>280.644840341462</v>
      </c>
      <c r="G20" s="57" t="s">
        <v>13</v>
      </c>
      <c r="H20" s="55">
        <f>GETPIVOTDATA("求和项:计划总投资",$A$17)</f>
        <v>280.644840341462</v>
      </c>
      <c r="I20" s="55">
        <f>GETPIVOTDATA("求和项:计划总投资",$A$17,"投资结构","基础设施类")</f>
        <v>227.214215341462</v>
      </c>
      <c r="J20" s="59">
        <f>I20/H20</f>
        <v>0.809614796641226</v>
      </c>
      <c r="K20" s="55">
        <f>GETPIVOTDATA("求和项:计划总投资",$A$17,"投资结构","民生和社会事业类")</f>
        <v>32.430625</v>
      </c>
      <c r="L20" s="59">
        <f>K20/H20</f>
        <v>0.115557531578138</v>
      </c>
      <c r="M20" s="55">
        <f>GETPIVOTDATA("求和项:计划总投资",$A$17,"投资结构","生态环保类")</f>
        <v>21</v>
      </c>
      <c r="N20" s="59">
        <f>M20/H20</f>
        <v>0.0748276717806363</v>
      </c>
      <c r="O20">
        <f>J20+L20+N20</f>
        <v>1</v>
      </c>
    </row>
    <row r="21" spans="1:15">
      <c r="A21" t="s">
        <v>40</v>
      </c>
      <c r="B21" s="55">
        <v>24.0379</v>
      </c>
      <c r="C21" s="55">
        <v>4.698</v>
      </c>
      <c r="D21" s="55">
        <v>2</v>
      </c>
      <c r="E21" s="55">
        <v>30.7359</v>
      </c>
      <c r="G21" s="57" t="s">
        <v>60</v>
      </c>
      <c r="H21" s="55">
        <f>GETPIVOTDATA("求和项:2025年计划投资",$A$17)</f>
        <v>30.7359</v>
      </c>
      <c r="I21" s="55">
        <f>GETPIVOTDATA("求和项:2025年计划投资",$A$17,"投资结构","基础设施类")</f>
        <v>24.0379</v>
      </c>
      <c r="J21" s="59">
        <f>I21/H21</f>
        <v>0.782078937008514</v>
      </c>
      <c r="K21" s="55">
        <f>GETPIVOTDATA("求和项:2025年计划投资",$A$17,"投资结构","民生和社会事业类")</f>
        <v>4.698</v>
      </c>
      <c r="L21" s="59">
        <f>K21/H21</f>
        <v>0.152850575385787</v>
      </c>
      <c r="M21" s="55">
        <f>GETPIVOTDATA("求和项:2025年计划投资",$A$17,"投资结构","生态环保类")</f>
        <v>2</v>
      </c>
      <c r="N21" s="59">
        <f>M21/H21</f>
        <v>0.0650704876056989</v>
      </c>
      <c r="O21">
        <f>J21+L21+N21</f>
        <v>1</v>
      </c>
    </row>
    <row r="28" spans="1:15">
      <c r="A28" t="s">
        <v>4</v>
      </c>
      <c r="B28" t="s">
        <v>61</v>
      </c>
    </row>
    <row r="30" ht="28.8" spans="1:15">
      <c r="B30" t="s">
        <v>11</v>
      </c>
      <c r="J30" s="60" t="s">
        <v>51</v>
      </c>
      <c r="K30" s="60"/>
      <c r="L30" s="61" t="s">
        <v>59</v>
      </c>
      <c r="M30" s="61" t="s">
        <v>13</v>
      </c>
      <c r="N30" s="61" t="s">
        <v>60</v>
      </c>
    </row>
    <row r="31" spans="1:15">
      <c r="A31" t="s">
        <v>56</v>
      </c>
      <c r="B31" t="s">
        <v>62</v>
      </c>
      <c r="C31" t="s">
        <v>63</v>
      </c>
      <c r="D31" t="s">
        <v>64</v>
      </c>
      <c r="E31" t="s">
        <v>65</v>
      </c>
      <c r="F31" t="s">
        <v>66</v>
      </c>
      <c r="G31" t="s">
        <v>49</v>
      </c>
      <c r="J31" s="60" t="s">
        <v>52</v>
      </c>
      <c r="K31" s="60"/>
      <c r="L31" s="62">
        <f>GETPIVOTDATA("计数项:项目名称",$A$30)</f>
        <v>13</v>
      </c>
      <c r="M31" s="63">
        <f>GETPIVOTDATA("求和项:计划总投资",$A$30)</f>
        <v>31.449721</v>
      </c>
      <c r="N31" s="63">
        <f>GETPIVOTDATA("求和项:2025年计划投资",$A$30)</f>
        <v>6.97075</v>
      </c>
    </row>
    <row r="32" spans="1:15">
      <c r="A32" t="s">
        <v>38</v>
      </c>
      <c r="B32">
        <v>1</v>
      </c>
      <c r="C32">
        <v>1</v>
      </c>
      <c r="D32">
        <v>8</v>
      </c>
      <c r="E32">
        <v>2</v>
      </c>
      <c r="F32">
        <v>1</v>
      </c>
      <c r="G32">
        <v>13</v>
      </c>
      <c r="J32" s="61" t="s">
        <v>62</v>
      </c>
      <c r="K32" s="61" t="s">
        <v>57</v>
      </c>
      <c r="L32">
        <f>GETPIVOTDATA("计数项:项目名称",$A$30,"投资领域","装备制造")</f>
        <v>1</v>
      </c>
      <c r="M32" s="55">
        <f>GETPIVOTDATA("求和项:计划总投资",$A$30,"投资领域","装备制造")</f>
        <v>0.6</v>
      </c>
      <c r="N32" s="55">
        <f>GETPIVOTDATA("求和项:2025年计划投资",$A$30,"投资领域","装备制造")</f>
        <v>0.5</v>
      </c>
    </row>
    <row r="33" ht="28.8" spans="1:17">
      <c r="A33" t="s">
        <v>39</v>
      </c>
      <c r="B33" s="55">
        <v>0.6</v>
      </c>
      <c r="C33" s="55">
        <v>1.8</v>
      </c>
      <c r="D33" s="55">
        <v>25.709121</v>
      </c>
      <c r="E33" s="55">
        <v>3.2206</v>
      </c>
      <c r="F33" s="55">
        <v>0.12</v>
      </c>
      <c r="G33" s="55">
        <v>31.449721</v>
      </c>
      <c r="J33" s="61"/>
      <c r="K33" s="64" t="s">
        <v>67</v>
      </c>
      <c r="L33" s="65">
        <f>L32/L31</f>
        <v>0.0769230769230769</v>
      </c>
      <c r="M33" s="65">
        <f>M32/M31</f>
        <v>0.0190780706766842</v>
      </c>
      <c r="N33" s="65">
        <f>N32/N31</f>
        <v>0.0717282932252627</v>
      </c>
      <c r="O33">
        <f>L33+L35+L37+L39+L41</f>
        <v>1</v>
      </c>
      <c r="P33">
        <f>M33+M35+M37+M39+M41</f>
        <v>1</v>
      </c>
      <c r="Q33">
        <f>N33+N35+N37+N39+N41</f>
        <v>1</v>
      </c>
    </row>
    <row r="34" spans="1:17">
      <c r="A34" t="s">
        <v>40</v>
      </c>
      <c r="B34" s="55">
        <v>0.5</v>
      </c>
      <c r="C34" s="55">
        <v>0.22</v>
      </c>
      <c r="D34" s="55">
        <v>4.58015</v>
      </c>
      <c r="E34" s="55">
        <v>1.5506</v>
      </c>
      <c r="F34" s="55">
        <v>0.12</v>
      </c>
      <c r="G34" s="55">
        <v>6.97075</v>
      </c>
      <c r="J34" s="61" t="s">
        <v>63</v>
      </c>
      <c r="K34" s="61" t="s">
        <v>57</v>
      </c>
      <c r="L34">
        <f>GETPIVOTDATA("计数项:项目名称",$A$30,"投资领域","材料化工")</f>
        <v>1</v>
      </c>
      <c r="M34" s="55">
        <f>GETPIVOTDATA("求和项:计划总投资",$A$30,"投资领域","材料化工")</f>
        <v>1.8</v>
      </c>
      <c r="N34" s="55">
        <f>GETPIVOTDATA("求和项:2025年计划投资",$A$30,"投资领域","材料化工")</f>
        <v>0.22</v>
      </c>
    </row>
    <row r="35" ht="28.8" spans="1:17">
      <c r="J35" s="61"/>
      <c r="K35" s="64" t="s">
        <v>67</v>
      </c>
      <c r="L35" s="65">
        <f>L34/L31</f>
        <v>0.0769230769230769</v>
      </c>
      <c r="M35" s="65">
        <f>M34/M31</f>
        <v>0.0572342120300527</v>
      </c>
      <c r="N35" s="65">
        <f>N34/N31</f>
        <v>0.0315604490191156</v>
      </c>
    </row>
    <row r="36" spans="1:17">
      <c r="J36" s="61" t="s">
        <v>64</v>
      </c>
      <c r="K36" s="61" t="s">
        <v>57</v>
      </c>
      <c r="L36">
        <f>GETPIVOTDATA("计数项:项目名称",$A$30,"投资领域","生态环保")</f>
        <v>8</v>
      </c>
      <c r="M36" s="55">
        <f>GETPIVOTDATA("求和项:计划总投资",$A$30,"投资领域","生态环保")</f>
        <v>25.709121</v>
      </c>
      <c r="N36" s="55">
        <f>GETPIVOTDATA("求和项:2025年计划投资",$A$30,"投资领域","生态环保")</f>
        <v>4.58015</v>
      </c>
    </row>
    <row r="37" ht="28.8" spans="1:17">
      <c r="J37" s="61"/>
      <c r="K37" s="64" t="s">
        <v>67</v>
      </c>
      <c r="L37" s="65">
        <f>L36/L31</f>
        <v>0.615384615384615</v>
      </c>
      <c r="M37" s="65">
        <f>M36/M31</f>
        <v>0.817467379122378</v>
      </c>
      <c r="N37" s="65">
        <f>N36/N31</f>
        <v>0.657052684431374</v>
      </c>
    </row>
    <row r="38" spans="1:17">
      <c r="J38" s="61" t="s">
        <v>66</v>
      </c>
      <c r="K38" s="61" t="s">
        <v>57</v>
      </c>
      <c r="L38">
        <f>GETPIVOTDATA("计数项:项目名称",$A$30,"投资领域","食品饮料")</f>
        <v>1</v>
      </c>
      <c r="M38" s="55">
        <f>GETPIVOTDATA("求和项:计划总投资",$A$30,"投资领域","食品饮料")</f>
        <v>0.12</v>
      </c>
      <c r="N38" s="55">
        <f>GETPIVOTDATA("求和项:2025年计划投资",$A$30,"投资领域","食品饮料")</f>
        <v>0.12</v>
      </c>
    </row>
    <row r="39" ht="28.8" spans="1:17">
      <c r="J39" s="61"/>
      <c r="K39" s="64" t="s">
        <v>67</v>
      </c>
      <c r="L39" s="65">
        <f>L38/L31</f>
        <v>0.0769230769230769</v>
      </c>
      <c r="M39" s="65">
        <f>M38/M31</f>
        <v>0.00381561413533684</v>
      </c>
      <c r="N39" s="65">
        <f>N38/N31</f>
        <v>0.017214790374063</v>
      </c>
    </row>
    <row r="40" spans="1:17">
      <c r="J40" s="57" t="s">
        <v>65</v>
      </c>
      <c r="K40" s="61" t="s">
        <v>57</v>
      </c>
      <c r="L40" s="66">
        <f>GETPIVOTDATA("计数项:项目名称",$A$30,"投资领域","打造美丽宜居德阳")</f>
        <v>2</v>
      </c>
      <c r="M40" s="67">
        <f>GETPIVOTDATA("求和项:计划总投资",$A$30,"投资领域","打造美丽宜居德阳")</f>
        <v>3.2206</v>
      </c>
      <c r="N40" s="67">
        <f>GETPIVOTDATA("求和项:2025年计划投资",$A$30,"投资领域","打造美丽宜居德阳")</f>
        <v>1.5506</v>
      </c>
    </row>
    <row r="41" ht="28.8" spans="1:17">
      <c r="J41" s="57"/>
      <c r="K41" s="64" t="s">
        <v>67</v>
      </c>
      <c r="L41" s="65">
        <f>L40/L31</f>
        <v>0.153846153846154</v>
      </c>
      <c r="M41" s="65">
        <f>M40/M31</f>
        <v>0.102404724035549</v>
      </c>
      <c r="N41" s="65">
        <f>N40/N31</f>
        <v>0.222443782950185</v>
      </c>
    </row>
    <row r="51" ht="28.8" spans="1:11">
      <c r="A51" t="s">
        <v>5</v>
      </c>
      <c r="B51" t="s">
        <v>38</v>
      </c>
      <c r="C51" t="s">
        <v>39</v>
      </c>
      <c r="D51" t="s">
        <v>40</v>
      </c>
      <c r="G51" s="68" t="s">
        <v>51</v>
      </c>
      <c r="H51" s="68"/>
      <c r="I51" s="69" t="s">
        <v>59</v>
      </c>
      <c r="J51" s="69" t="s">
        <v>13</v>
      </c>
      <c r="K51" s="69" t="s">
        <v>60</v>
      </c>
    </row>
    <row r="52" spans="1:11">
      <c r="A52" t="s">
        <v>68</v>
      </c>
      <c r="B52">
        <v>17</v>
      </c>
      <c r="C52" s="55">
        <v>308.326840341462</v>
      </c>
      <c r="D52" s="55">
        <v>36.27885</v>
      </c>
      <c r="G52" s="68" t="s">
        <v>52</v>
      </c>
      <c r="H52" s="68"/>
      <c r="I52" s="70">
        <f>GETPIVOTDATA("计数项:项目名称",$A$51)</f>
        <v>26</v>
      </c>
      <c r="J52" s="71">
        <f>GETPIVOTDATA("求和项:计划总投资",$A$51)</f>
        <v>312.094561341462</v>
      </c>
      <c r="K52" s="71">
        <f>GETPIVOTDATA("求和项:2025年计划投资",$A$51)</f>
        <v>37.70665</v>
      </c>
    </row>
    <row r="53" spans="1:11">
      <c r="A53" t="s">
        <v>69</v>
      </c>
      <c r="B53">
        <v>9</v>
      </c>
      <c r="C53" s="55">
        <v>3.767721</v>
      </c>
      <c r="D53" s="55">
        <v>1.4278</v>
      </c>
      <c r="G53" s="69" t="s">
        <v>68</v>
      </c>
      <c r="H53" s="69" t="s">
        <v>57</v>
      </c>
      <c r="I53" s="72">
        <f>GETPIVOTDATA("计数项:项目名称",$A$51,"投资时序","续投项目")</f>
        <v>17</v>
      </c>
      <c r="J53" s="71">
        <f>GETPIVOTDATA("求和项:计划总投资",$A$51,"投资时序","续投项目")</f>
        <v>308.326840341462</v>
      </c>
      <c r="K53" s="71">
        <f>GETPIVOTDATA("求和项:2025年计划投资",$A$51,"投资时序","续投项目")</f>
        <v>36.27885</v>
      </c>
    </row>
    <row r="54" ht="28.8" spans="1:11">
      <c r="A54" t="s">
        <v>49</v>
      </c>
      <c r="B54">
        <v>26</v>
      </c>
      <c r="C54" s="55">
        <v>312.094561341462</v>
      </c>
      <c r="D54" s="55">
        <v>37.70665</v>
      </c>
      <c r="G54" s="69"/>
      <c r="H54" s="73" t="s">
        <v>70</v>
      </c>
      <c r="I54" s="74">
        <v>0.5652</v>
      </c>
      <c r="J54" s="74">
        <v>0.9496</v>
      </c>
      <c r="K54" s="74">
        <v>0.8836</v>
      </c>
    </row>
    <row r="55" spans="1:11">
      <c r="G55" s="69" t="s">
        <v>69</v>
      </c>
      <c r="H55" s="69" t="s">
        <v>57</v>
      </c>
      <c r="I55" s="72">
        <f>GETPIVOTDATA("计数项:项目名称",$A$51,"投资时序","新投项目")</f>
        <v>9</v>
      </c>
      <c r="J55" s="71">
        <f>GETPIVOTDATA("求和项:计划总投资",$A$51,"投资时序","新投项目")</f>
        <v>3.767721</v>
      </c>
      <c r="K55" s="71">
        <f>GETPIVOTDATA("求和项:2025年计划投资",$A$51,"投资时序","新投项目")</f>
        <v>1.4278</v>
      </c>
    </row>
    <row r="56" ht="28.8" spans="1:11">
      <c r="G56" s="69"/>
      <c r="H56" s="73" t="s">
        <v>70</v>
      </c>
      <c r="I56" s="74">
        <v>0.4348</v>
      </c>
      <c r="J56" s="74">
        <v>0.0504</v>
      </c>
      <c r="K56" s="74">
        <v>0.1164</v>
      </c>
    </row>
    <row r="67" ht="28.8" spans="1:11">
      <c r="A67" t="s">
        <v>21</v>
      </c>
      <c r="B67" t="s">
        <v>5</v>
      </c>
      <c r="C67" t="s">
        <v>38</v>
      </c>
      <c r="D67" t="s">
        <v>39</v>
      </c>
      <c r="E67" t="s">
        <v>40</v>
      </c>
      <c r="G67" s="68" t="s">
        <v>51</v>
      </c>
      <c r="H67" s="68"/>
      <c r="I67" s="69" t="s">
        <v>59</v>
      </c>
      <c r="J67" s="69" t="s">
        <v>13</v>
      </c>
      <c r="K67" s="69" t="s">
        <v>60</v>
      </c>
    </row>
    <row r="68" spans="1:11">
      <c r="A68" t="s">
        <v>71</v>
      </c>
      <c r="C68">
        <v>23</v>
      </c>
      <c r="D68" s="55">
        <v>304.930440341462</v>
      </c>
      <c r="E68" s="55">
        <v>34.3931</v>
      </c>
      <c r="G68" s="68" t="s">
        <v>49</v>
      </c>
      <c r="H68" s="68"/>
      <c r="I68" s="70">
        <f>GETPIVOTDATA("计数项:项目名称",$A$67)</f>
        <v>26</v>
      </c>
      <c r="J68" s="75">
        <f>GETPIVOTDATA("求和项:计划总投资",$A$67)</f>
        <v>312.094561341462</v>
      </c>
      <c r="K68" s="75">
        <f>GETPIVOTDATA("求和项:2025年计划投资",$A$67)</f>
        <v>37.70665</v>
      </c>
    </row>
    <row r="69" spans="1:11">
      <c r="B69" t="s">
        <v>68</v>
      </c>
      <c r="C69">
        <v>16</v>
      </c>
      <c r="D69" s="55">
        <v>301.668340341462</v>
      </c>
      <c r="E69" s="55">
        <v>33.4459</v>
      </c>
      <c r="G69" s="69" t="s">
        <v>72</v>
      </c>
      <c r="H69" s="68" t="s">
        <v>52</v>
      </c>
      <c r="I69" s="76">
        <f>GETPIVOTDATA("计数项:项目名称",$A$67,"区域","市内")</f>
        <v>23</v>
      </c>
      <c r="J69" s="55">
        <f>GETPIVOTDATA("求和项:计划总投资",$A$67,"区域","市内")</f>
        <v>304.930440341462</v>
      </c>
      <c r="K69" s="55">
        <f>GETPIVOTDATA("求和项:2025年计划投资",$A$67,"区域","市内")</f>
        <v>34.3931</v>
      </c>
    </row>
    <row r="70" spans="1:11">
      <c r="B70" t="s">
        <v>69</v>
      </c>
      <c r="C70">
        <v>7</v>
      </c>
      <c r="D70" s="55">
        <v>3.2621</v>
      </c>
      <c r="E70" s="55">
        <v>0.9472</v>
      </c>
      <c r="G70" s="69"/>
      <c r="H70" s="69" t="s">
        <v>68</v>
      </c>
      <c r="I70" s="77">
        <f>GETPIVOTDATA("计数项:项目名称",$A$67,"投资时序","续投项目","区域","市内")</f>
        <v>16</v>
      </c>
      <c r="J70" s="55">
        <f>GETPIVOTDATA("求和项:计划总投资",$A$67,"投资时序","续投项目","区域","市内")</f>
        <v>301.668340341462</v>
      </c>
      <c r="K70" s="55">
        <f>GETPIVOTDATA("求和项:2025年计划投资",$A$67,"投资时序","续投项目","区域","市内")</f>
        <v>33.4459</v>
      </c>
    </row>
    <row r="71" spans="1:11">
      <c r="A71" t="s">
        <v>73</v>
      </c>
      <c r="C71">
        <v>3</v>
      </c>
      <c r="D71" s="55">
        <v>7.164121</v>
      </c>
      <c r="E71" s="55">
        <v>3.31355</v>
      </c>
      <c r="G71" s="69"/>
      <c r="H71" s="69" t="s">
        <v>69</v>
      </c>
      <c r="I71" s="77">
        <f>GETPIVOTDATA("计数项:项目名称",$A$67,"投资时序","新投项目","区域","市内")</f>
        <v>7</v>
      </c>
      <c r="J71" s="75">
        <f>GETPIVOTDATA("求和项:计划总投资",$A$67,"投资时序","新投项目","区域","市内")</f>
        <v>3.2621</v>
      </c>
      <c r="K71" s="75">
        <f>GETPIVOTDATA("求和项:2025年计划投资",$A$67,"投资时序","新投项目","区域","市内")</f>
        <v>0.9472</v>
      </c>
    </row>
    <row r="72" spans="1:11">
      <c r="B72" t="s">
        <v>68</v>
      </c>
      <c r="C72">
        <v>1</v>
      </c>
      <c r="D72" s="55">
        <v>6.6585</v>
      </c>
      <c r="E72" s="55">
        <v>2.83295</v>
      </c>
      <c r="G72" s="69" t="s">
        <v>74</v>
      </c>
      <c r="H72" s="68" t="s">
        <v>52</v>
      </c>
      <c r="I72" s="76">
        <f>GETPIVOTDATA("计数项:项目名称",$A$67,"区域","市外")</f>
        <v>3</v>
      </c>
      <c r="J72" s="55">
        <f>GETPIVOTDATA("求和项:计划总投资",$A$67,"区域","市外")</f>
        <v>7.164121</v>
      </c>
      <c r="K72" s="55">
        <f>GETPIVOTDATA("求和项:2025年计划投资",$A$67,"区域","市外")</f>
        <v>3.31355</v>
      </c>
    </row>
    <row r="73" spans="1:11">
      <c r="B73" t="s">
        <v>69</v>
      </c>
      <c r="C73">
        <v>2</v>
      </c>
      <c r="D73" s="55">
        <v>0.505621</v>
      </c>
      <c r="E73" s="55">
        <v>0.4806</v>
      </c>
      <c r="G73" s="69"/>
      <c r="H73" s="69" t="s">
        <v>68</v>
      </c>
      <c r="I73" s="77">
        <f>GETPIVOTDATA("计数项:项目名称",$A$67,"投资时序","续投项目","区域","市外")</f>
        <v>1</v>
      </c>
      <c r="J73" s="55">
        <f>GETPIVOTDATA("求和项:计划总投资",$A$67,"投资时序","续投项目","区域","市外")</f>
        <v>6.6585</v>
      </c>
      <c r="K73" s="55">
        <f>GETPIVOTDATA("求和项:2025年计划投资",$A$67,"投资时序","续投项目","区域","市外")</f>
        <v>2.83295</v>
      </c>
    </row>
    <row r="74" spans="1:11">
      <c r="A74" t="s">
        <v>49</v>
      </c>
      <c r="C74">
        <v>26</v>
      </c>
      <c r="D74" s="55">
        <v>312.094561341462</v>
      </c>
      <c r="E74" s="55">
        <v>37.70665</v>
      </c>
      <c r="G74" s="69"/>
      <c r="H74" s="69" t="s">
        <v>69</v>
      </c>
      <c r="I74" s="77">
        <f>GETPIVOTDATA("计数项:项目名称",$A$67,"投资时序","新投项目","区域","市外")</f>
        <v>2</v>
      </c>
      <c r="J74" s="75">
        <f>GETPIVOTDATA("求和项:计划总投资",$A$67,"投资时序","新投项目","区域","市外")</f>
        <v>0.505621</v>
      </c>
      <c r="K74" s="75">
        <f>GETPIVOTDATA("求和项:2025年计划投资",$A$67,"投资时序","新投项目","区域","市外")</f>
        <v>0.4806</v>
      </c>
    </row>
    <row r="84" spans="1:7">
      <c r="A84" t="s">
        <v>39</v>
      </c>
      <c r="B84" t="s">
        <v>75</v>
      </c>
      <c r="C84" t="s">
        <v>76</v>
      </c>
      <c r="D84" t="s">
        <v>77</v>
      </c>
      <c r="E84" t="s">
        <v>78</v>
      </c>
      <c r="F84" t="s">
        <v>79</v>
      </c>
      <c r="G84" t="s">
        <v>80</v>
      </c>
    </row>
    <row r="85" spans="1:7">
      <c r="A85" s="55">
        <v>312.094561341462</v>
      </c>
      <c r="B85" s="55">
        <v>0.664</v>
      </c>
      <c r="C85" s="55">
        <v>75.171725</v>
      </c>
      <c r="D85" s="55">
        <v>13.6436</v>
      </c>
      <c r="E85" s="55">
        <v>16.152172</v>
      </c>
      <c r="F85" s="55">
        <v>140.153178204877</v>
      </c>
      <c r="G85" s="55">
        <v>66.3098861365848</v>
      </c>
    </row>
    <row r="89" spans="1:7">
      <c r="A89" t="s">
        <v>40</v>
      </c>
      <c r="B89" t="s">
        <v>81</v>
      </c>
      <c r="C89" t="s">
        <v>82</v>
      </c>
      <c r="D89" t="s">
        <v>83</v>
      </c>
      <c r="E89" t="s">
        <v>84</v>
      </c>
      <c r="F89" t="s">
        <v>85</v>
      </c>
      <c r="G89" t="s">
        <v>86</v>
      </c>
    </row>
    <row r="90" spans="1:7">
      <c r="A90" s="55">
        <v>37.70665</v>
      </c>
      <c r="B90" s="55">
        <v>0</v>
      </c>
      <c r="C90" s="55">
        <v>13.208</v>
      </c>
      <c r="D90" s="55">
        <v>2.6916</v>
      </c>
      <c r="E90" s="55">
        <v>3.25285</v>
      </c>
      <c r="F90" s="55">
        <v>10.5542</v>
      </c>
      <c r="G90" s="55">
        <v>8</v>
      </c>
    </row>
  </sheetData>
  <mergeCells count="20">
    <mergeCell ref="I17:J17"/>
    <mergeCell ref="K17:L17"/>
    <mergeCell ref="M17:N17"/>
    <mergeCell ref="J30:K30"/>
    <mergeCell ref="J31:K31"/>
    <mergeCell ref="G51:H51"/>
    <mergeCell ref="G52:H52"/>
    <mergeCell ref="G67:H67"/>
    <mergeCell ref="G68:H68"/>
    <mergeCell ref="G17:G18"/>
    <mergeCell ref="G53:G54"/>
    <mergeCell ref="G55:G56"/>
    <mergeCell ref="G69:G71"/>
    <mergeCell ref="G72:G74"/>
    <mergeCell ref="H17:H18"/>
    <mergeCell ref="J32:J33"/>
    <mergeCell ref="J34:J35"/>
    <mergeCell ref="J36:J37"/>
    <mergeCell ref="J38:J39"/>
    <mergeCell ref="J40:J4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E37"/>
  <sheetViews>
    <sheetView zoomScale="40" zoomScaleNormal="40" workbookViewId="0">
      <pane xSplit="2" ySplit="5" topLeftCell="C6" activePane="bottomRight" state="frozen"/>
      <selection/>
      <selection pane="topRight"/>
      <selection pane="bottomLeft"/>
      <selection pane="bottomRight" activeCell="Z1" sqref="Z$1:Z$1048576"/>
    </sheetView>
  </sheetViews>
  <sheetFormatPr defaultColWidth="9" defaultRowHeight="20.4"/>
  <cols>
    <col min="1" max="1" width="8.62962962962963" style="2" customWidth="1"/>
    <col min="2" max="2" width="20.7592592592593" style="2" customWidth="1"/>
    <col min="3" max="3" width="15.6296296296296" style="3" customWidth="1"/>
    <col min="4" max="5" width="15.6296296296296" style="2" customWidth="1"/>
    <col min="6" max="6" width="51.5648148148148" style="4" customWidth="1"/>
    <col min="7" max="9" width="15.6296296296296" style="2" customWidth="1"/>
    <col min="10" max="10" width="15.6296296296296" style="3" customWidth="1"/>
    <col min="11" max="11" width="15.6296296296296" style="2" customWidth="1"/>
    <col min="12" max="26" width="20.6296296296296" style="2" customWidth="1"/>
    <col min="27" max="27" width="19.5" style="2" customWidth="1"/>
    <col min="28" max="30" width="4.62962962962963" style="2" customWidth="1"/>
    <col min="31" max="34" width="9" style="1" customWidth="1"/>
    <col min="35" max="16384" width="9" style="1"/>
  </cols>
  <sheetData>
    <row r="1" ht="40" customHeight="1" spans="1:31">
      <c r="A1" s="5" t="s">
        <v>87</v>
      </c>
      <c r="B1" s="5"/>
      <c r="C1" s="5"/>
      <c r="D1" s="5"/>
      <c r="E1" s="5"/>
      <c r="F1" s="5"/>
      <c r="G1" s="5"/>
      <c r="H1" s="5"/>
      <c r="I1" s="5"/>
      <c r="J1" s="5"/>
      <c r="K1" s="5"/>
      <c r="L1" s="5"/>
      <c r="M1" s="5"/>
      <c r="N1" s="5"/>
      <c r="O1" s="5"/>
      <c r="P1" s="5"/>
      <c r="Q1" s="5"/>
      <c r="R1" s="5"/>
      <c r="S1" s="5"/>
      <c r="T1" s="5"/>
      <c r="U1" s="5"/>
      <c r="V1" s="5"/>
      <c r="W1" s="5"/>
      <c r="X1" s="5"/>
      <c r="Y1" s="5"/>
      <c r="Z1" s="5"/>
      <c r="AA1" s="5"/>
      <c r="AB1" s="5"/>
      <c r="AC1" s="5"/>
      <c r="AD1" s="5"/>
    </row>
    <row r="2" ht="26" customHeight="1" spans="1:31">
      <c r="A2" s="6" t="s">
        <v>1</v>
      </c>
      <c r="B2" s="6"/>
      <c r="C2" s="6"/>
      <c r="D2" s="6"/>
      <c r="E2" s="6"/>
      <c r="F2" s="6"/>
      <c r="G2" s="6"/>
      <c r="H2" s="6"/>
      <c r="I2" s="6"/>
      <c r="J2" s="6"/>
      <c r="K2" s="6"/>
      <c r="L2" s="6"/>
      <c r="M2" s="6"/>
      <c r="N2" s="6"/>
      <c r="O2" s="6"/>
      <c r="P2" s="6"/>
      <c r="Q2" s="6"/>
      <c r="R2" s="6"/>
      <c r="S2" s="6"/>
      <c r="T2" s="6"/>
      <c r="U2" s="6"/>
      <c r="V2" s="6"/>
      <c r="W2" s="6"/>
      <c r="X2" s="6"/>
      <c r="Y2" s="6"/>
      <c r="Z2" s="6"/>
      <c r="AA2" s="6"/>
      <c r="AB2" s="6"/>
      <c r="AC2" s="6"/>
      <c r="AD2" s="6"/>
    </row>
    <row r="3" ht="50" customHeight="1" spans="1:31">
      <c r="A3" s="7" t="s">
        <v>2</v>
      </c>
      <c r="B3" s="7" t="s">
        <v>3</v>
      </c>
      <c r="C3" s="7" t="s">
        <v>4</v>
      </c>
      <c r="D3" s="7" t="s">
        <v>5</v>
      </c>
      <c r="E3" s="7" t="s">
        <v>6</v>
      </c>
      <c r="F3" s="7" t="s">
        <v>7</v>
      </c>
      <c r="G3" s="7" t="s">
        <v>8</v>
      </c>
      <c r="H3" s="7" t="s">
        <v>9</v>
      </c>
      <c r="I3" s="7" t="s">
        <v>10</v>
      </c>
      <c r="J3" s="7" t="s">
        <v>11</v>
      </c>
      <c r="K3" s="7" t="s">
        <v>12</v>
      </c>
      <c r="L3" s="8" t="s">
        <v>13</v>
      </c>
      <c r="M3" s="9" t="s">
        <v>88</v>
      </c>
      <c r="N3" s="10"/>
      <c r="O3" s="10"/>
      <c r="P3" s="10"/>
      <c r="Q3" s="11"/>
      <c r="R3" s="10"/>
      <c r="S3" s="7" t="s">
        <v>89</v>
      </c>
      <c r="T3" s="7" t="s">
        <v>90</v>
      </c>
      <c r="U3" s="9" t="s">
        <v>88</v>
      </c>
      <c r="V3" s="10"/>
      <c r="W3" s="10"/>
      <c r="X3" s="10"/>
      <c r="Y3" s="11"/>
      <c r="Z3" s="10"/>
      <c r="AA3" s="7" t="s">
        <v>19</v>
      </c>
      <c r="AB3" s="12" t="s">
        <v>20</v>
      </c>
      <c r="AC3" s="12"/>
      <c r="AD3" s="12"/>
      <c r="AE3" s="8" t="s">
        <v>21</v>
      </c>
    </row>
    <row r="4" ht="50" customHeight="1" spans="1:31">
      <c r="A4" s="7"/>
      <c r="B4" s="7"/>
      <c r="C4" s="7"/>
      <c r="D4" s="7"/>
      <c r="E4" s="7"/>
      <c r="F4" s="7"/>
      <c r="G4" s="7"/>
      <c r="H4" s="7"/>
      <c r="I4" s="7"/>
      <c r="J4" s="7"/>
      <c r="K4" s="7"/>
      <c r="L4" s="13"/>
      <c r="M4" s="14"/>
      <c r="N4" s="15"/>
      <c r="O4" s="15"/>
      <c r="P4" s="15"/>
      <c r="Q4" s="16"/>
      <c r="R4" s="15"/>
      <c r="S4" s="7"/>
      <c r="T4" s="7"/>
      <c r="U4" s="14"/>
      <c r="V4" s="15"/>
      <c r="W4" s="15"/>
      <c r="X4" s="15"/>
      <c r="Y4" s="16"/>
      <c r="Z4" s="15"/>
      <c r="AA4" s="7"/>
      <c r="AB4" s="7" t="s">
        <v>22</v>
      </c>
      <c r="AC4" s="7" t="s">
        <v>23</v>
      </c>
      <c r="AD4" s="7" t="s">
        <v>24</v>
      </c>
      <c r="AE4" s="13"/>
    </row>
    <row r="5" ht="50" customHeight="1" spans="1:31">
      <c r="A5" s="7" t="s">
        <v>2</v>
      </c>
      <c r="B5" s="7" t="s">
        <v>3</v>
      </c>
      <c r="C5" s="7" t="s">
        <v>4</v>
      </c>
      <c r="D5" s="7" t="s">
        <v>5</v>
      </c>
      <c r="E5" s="7" t="s">
        <v>6</v>
      </c>
      <c r="F5" s="7" t="s">
        <v>7</v>
      </c>
      <c r="G5" s="7" t="s">
        <v>8</v>
      </c>
      <c r="H5" s="7" t="s">
        <v>9</v>
      </c>
      <c r="I5" s="7" t="s">
        <v>10</v>
      </c>
      <c r="J5" s="7" t="s">
        <v>11</v>
      </c>
      <c r="K5" s="7" t="s">
        <v>12</v>
      </c>
      <c r="L5" s="8" t="s">
        <v>13</v>
      </c>
      <c r="M5" s="12" t="s">
        <v>91</v>
      </c>
      <c r="N5" s="12" t="s">
        <v>92</v>
      </c>
      <c r="O5" s="12" t="s">
        <v>93</v>
      </c>
      <c r="P5" s="12" t="s">
        <v>94</v>
      </c>
      <c r="Q5" s="12" t="s">
        <v>95</v>
      </c>
      <c r="R5" s="12" t="s">
        <v>96</v>
      </c>
      <c r="S5" s="7" t="s">
        <v>89</v>
      </c>
      <c r="T5" s="7" t="s">
        <v>90</v>
      </c>
      <c r="U5" s="12" t="s">
        <v>91</v>
      </c>
      <c r="V5" s="12" t="s">
        <v>92</v>
      </c>
      <c r="W5" s="12" t="s">
        <v>93</v>
      </c>
      <c r="X5" s="12" t="s">
        <v>94</v>
      </c>
      <c r="Y5" s="12" t="s">
        <v>95</v>
      </c>
      <c r="Z5" s="12" t="s">
        <v>96</v>
      </c>
      <c r="AA5" s="7" t="s">
        <v>19</v>
      </c>
      <c r="AB5" s="7" t="s">
        <v>22</v>
      </c>
      <c r="AC5" s="7" t="s">
        <v>23</v>
      </c>
      <c r="AD5" s="7" t="s">
        <v>24</v>
      </c>
      <c r="AE5" s="8" t="s">
        <v>21</v>
      </c>
    </row>
    <row r="6" customFormat="1" ht="301" customHeight="1" spans="1:31">
      <c r="A6" s="17">
        <v>1</v>
      </c>
      <c r="B6" s="17" t="s">
        <v>97</v>
      </c>
      <c r="C6" s="17" t="s">
        <v>50</v>
      </c>
      <c r="D6" s="17" t="s">
        <v>68</v>
      </c>
      <c r="E6" s="17" t="s">
        <v>41</v>
      </c>
      <c r="F6" s="18" t="s">
        <v>98</v>
      </c>
      <c r="G6" s="17" t="s">
        <v>41</v>
      </c>
      <c r="H6" s="17" t="s">
        <v>99</v>
      </c>
      <c r="I6" s="17" t="s">
        <v>53</v>
      </c>
      <c r="J6" s="19" t="s">
        <v>33</v>
      </c>
      <c r="K6" s="17" t="s">
        <v>100</v>
      </c>
      <c r="L6" s="20">
        <v>338090</v>
      </c>
      <c r="M6" s="20">
        <v>0</v>
      </c>
      <c r="N6" s="20">
        <v>17319</v>
      </c>
      <c r="O6" s="20">
        <v>0</v>
      </c>
      <c r="P6" s="20">
        <v>0</v>
      </c>
      <c r="Q6" s="20">
        <v>320771</v>
      </c>
      <c r="R6" s="20">
        <v>0</v>
      </c>
      <c r="S6" s="20">
        <v>335771</v>
      </c>
      <c r="T6" s="20">
        <v>3000</v>
      </c>
      <c r="U6" s="20">
        <v>0</v>
      </c>
      <c r="V6" s="20">
        <v>0</v>
      </c>
      <c r="W6" s="20">
        <v>0</v>
      </c>
      <c r="X6" s="20">
        <v>0</v>
      </c>
      <c r="Y6" s="20">
        <v>3000</v>
      </c>
      <c r="Z6" s="20">
        <v>0</v>
      </c>
      <c r="AA6" s="21" t="s">
        <v>101</v>
      </c>
      <c r="AB6" s="22" t="s">
        <v>36</v>
      </c>
      <c r="AC6" s="22"/>
      <c r="AD6" s="22"/>
      <c r="AE6" s="23" t="s">
        <v>71</v>
      </c>
    </row>
    <row r="7" ht="178" customHeight="1" spans="1:31">
      <c r="A7" s="19">
        <v>2</v>
      </c>
      <c r="B7" s="19" t="s">
        <v>102</v>
      </c>
      <c r="C7" s="19" t="s">
        <v>50</v>
      </c>
      <c r="D7" s="17" t="s">
        <v>68</v>
      </c>
      <c r="E7" s="19" t="s">
        <v>47</v>
      </c>
      <c r="F7" s="24" t="s">
        <v>103</v>
      </c>
      <c r="G7" s="19" t="s">
        <v>47</v>
      </c>
      <c r="H7" s="19" t="s">
        <v>99</v>
      </c>
      <c r="I7" s="19" t="s">
        <v>53</v>
      </c>
      <c r="J7" s="19" t="s">
        <v>33</v>
      </c>
      <c r="K7" s="19" t="s">
        <v>104</v>
      </c>
      <c r="L7" s="25">
        <v>1650247.15341462</v>
      </c>
      <c r="M7" s="25">
        <v>0</v>
      </c>
      <c r="N7" s="25">
        <v>593284</v>
      </c>
      <c r="O7" s="25">
        <v>0</v>
      </c>
      <c r="P7" s="25">
        <v>0</v>
      </c>
      <c r="Q7" s="25">
        <f>L7-R7-N7</f>
        <v>396864.292048772</v>
      </c>
      <c r="R7" s="25">
        <f>L7*0.4</f>
        <v>660098.861365848</v>
      </c>
      <c r="S7" s="25">
        <v>203540</v>
      </c>
      <c r="T7" s="20">
        <v>200000</v>
      </c>
      <c r="U7" s="25">
        <v>0</v>
      </c>
      <c r="V7" s="25">
        <f>T7*0.36</f>
        <v>72000</v>
      </c>
      <c r="W7" s="25">
        <v>0</v>
      </c>
      <c r="X7" s="25">
        <v>0</v>
      </c>
      <c r="Y7" s="25">
        <f>T7*0.24</f>
        <v>48000</v>
      </c>
      <c r="Z7" s="25">
        <f>T7*0.4</f>
        <v>80000</v>
      </c>
      <c r="AA7" s="19" t="s">
        <v>105</v>
      </c>
      <c r="AB7" s="22" t="s">
        <v>36</v>
      </c>
      <c r="AC7" s="19"/>
      <c r="AD7" s="19"/>
      <c r="AE7" s="23" t="s">
        <v>71</v>
      </c>
    </row>
    <row r="8" ht="178" customHeight="1" spans="1:31">
      <c r="A8" s="17">
        <v>3</v>
      </c>
      <c r="B8" s="17" t="s">
        <v>106</v>
      </c>
      <c r="C8" s="19" t="s">
        <v>50</v>
      </c>
      <c r="D8" s="17" t="s">
        <v>68</v>
      </c>
      <c r="E8" s="17" t="s">
        <v>42</v>
      </c>
      <c r="F8" s="18" t="s">
        <v>107</v>
      </c>
      <c r="G8" s="17" t="s">
        <v>42</v>
      </c>
      <c r="H8" s="17" t="s">
        <v>99</v>
      </c>
      <c r="I8" s="17" t="s">
        <v>53</v>
      </c>
      <c r="J8" s="17" t="s">
        <v>33</v>
      </c>
      <c r="K8" s="17" t="s">
        <v>108</v>
      </c>
      <c r="L8" s="20">
        <v>33600</v>
      </c>
      <c r="M8" s="20">
        <v>0</v>
      </c>
      <c r="N8" s="20">
        <v>0</v>
      </c>
      <c r="O8" s="20">
        <v>3360</v>
      </c>
      <c r="P8" s="20">
        <v>3360</v>
      </c>
      <c r="Q8" s="20">
        <v>26880</v>
      </c>
      <c r="R8" s="20">
        <v>0</v>
      </c>
      <c r="S8" s="26">
        <v>150</v>
      </c>
      <c r="T8" s="26">
        <v>2000</v>
      </c>
      <c r="U8" s="26">
        <v>0</v>
      </c>
      <c r="V8" s="26">
        <v>0</v>
      </c>
      <c r="W8" s="26">
        <v>2000</v>
      </c>
      <c r="X8" s="26">
        <v>0</v>
      </c>
      <c r="Y8" s="26">
        <v>0</v>
      </c>
      <c r="Z8" s="26">
        <v>0</v>
      </c>
      <c r="AA8" s="19" t="s">
        <v>109</v>
      </c>
      <c r="AB8" s="27" t="s">
        <v>36</v>
      </c>
      <c r="AC8" s="23"/>
      <c r="AD8" s="23"/>
      <c r="AE8" s="19" t="s">
        <v>71</v>
      </c>
    </row>
    <row r="9" ht="178" customHeight="1" spans="1:31">
      <c r="A9" s="19">
        <v>4</v>
      </c>
      <c r="B9" s="17" t="s">
        <v>110</v>
      </c>
      <c r="C9" s="19" t="s">
        <v>50</v>
      </c>
      <c r="D9" s="17" t="s">
        <v>68</v>
      </c>
      <c r="E9" s="17" t="s">
        <v>42</v>
      </c>
      <c r="F9" s="18" t="s">
        <v>111</v>
      </c>
      <c r="G9" s="17" t="s">
        <v>42</v>
      </c>
      <c r="H9" s="17" t="s">
        <v>99</v>
      </c>
      <c r="I9" s="17" t="s">
        <v>53</v>
      </c>
      <c r="J9" s="17" t="s">
        <v>33</v>
      </c>
      <c r="K9" s="17" t="s">
        <v>112</v>
      </c>
      <c r="L9" s="20">
        <v>168000</v>
      </c>
      <c r="M9" s="25">
        <v>0</v>
      </c>
      <c r="N9" s="25">
        <v>0</v>
      </c>
      <c r="O9" s="25">
        <v>16800</v>
      </c>
      <c r="P9" s="20">
        <v>16800</v>
      </c>
      <c r="Q9" s="20">
        <v>134400</v>
      </c>
      <c r="R9" s="20">
        <v>0</v>
      </c>
      <c r="S9" s="26">
        <v>66255</v>
      </c>
      <c r="T9" s="26">
        <v>15000</v>
      </c>
      <c r="U9" s="26">
        <v>0</v>
      </c>
      <c r="V9" s="26">
        <v>0</v>
      </c>
      <c r="W9" s="26">
        <v>0</v>
      </c>
      <c r="X9" s="26">
        <v>15000</v>
      </c>
      <c r="Y9" s="26">
        <v>0</v>
      </c>
      <c r="Z9" s="26">
        <v>0</v>
      </c>
      <c r="AA9" s="19" t="s">
        <v>109</v>
      </c>
      <c r="AB9" s="27" t="s">
        <v>36</v>
      </c>
      <c r="AC9" s="23"/>
      <c r="AD9" s="23"/>
      <c r="AE9" s="19" t="s">
        <v>71</v>
      </c>
    </row>
    <row r="10" ht="408" customHeight="1" spans="1:31">
      <c r="A10" s="17">
        <v>5</v>
      </c>
      <c r="B10" s="28" t="s">
        <v>113</v>
      </c>
      <c r="C10" s="19" t="s">
        <v>50</v>
      </c>
      <c r="D10" s="17" t="s">
        <v>68</v>
      </c>
      <c r="E10" s="17" t="s">
        <v>42</v>
      </c>
      <c r="F10" s="18" t="s">
        <v>114</v>
      </c>
      <c r="G10" s="17" t="s">
        <v>115</v>
      </c>
      <c r="H10" s="17" t="s">
        <v>99</v>
      </c>
      <c r="I10" s="17" t="s">
        <v>55</v>
      </c>
      <c r="J10" s="17" t="s">
        <v>33</v>
      </c>
      <c r="K10" s="17" t="s">
        <v>116</v>
      </c>
      <c r="L10" s="29">
        <v>210000</v>
      </c>
      <c r="M10" s="30">
        <v>0</v>
      </c>
      <c r="N10" s="30">
        <v>0</v>
      </c>
      <c r="O10" s="30">
        <v>86000</v>
      </c>
      <c r="P10" s="30">
        <v>0</v>
      </c>
      <c r="Q10" s="30">
        <v>124000</v>
      </c>
      <c r="R10" s="30">
        <v>0</v>
      </c>
      <c r="S10" s="20">
        <v>128459</v>
      </c>
      <c r="T10" s="20">
        <v>20000</v>
      </c>
      <c r="U10" s="31">
        <v>0</v>
      </c>
      <c r="V10" s="31">
        <v>0</v>
      </c>
      <c r="W10" s="31">
        <v>14000</v>
      </c>
      <c r="X10" s="31">
        <v>0</v>
      </c>
      <c r="Y10" s="31">
        <v>6000</v>
      </c>
      <c r="Z10" s="31">
        <v>0</v>
      </c>
      <c r="AA10" s="19" t="s">
        <v>117</v>
      </c>
      <c r="AB10" s="27" t="s">
        <v>36</v>
      </c>
      <c r="AC10" s="23"/>
      <c r="AD10" s="23"/>
      <c r="AE10" s="19" t="s">
        <v>71</v>
      </c>
    </row>
    <row r="11" ht="409" customHeight="1" spans="1:31">
      <c r="A11" s="19">
        <v>6</v>
      </c>
      <c r="B11" s="17" t="s">
        <v>118</v>
      </c>
      <c r="C11" s="19" t="s">
        <v>50</v>
      </c>
      <c r="D11" s="17" t="s">
        <v>68</v>
      </c>
      <c r="E11" s="17" t="s">
        <v>42</v>
      </c>
      <c r="F11" s="18" t="s">
        <v>119</v>
      </c>
      <c r="G11" s="17" t="s">
        <v>42</v>
      </c>
      <c r="H11" s="17" t="s">
        <v>99</v>
      </c>
      <c r="I11" s="17" t="s">
        <v>54</v>
      </c>
      <c r="J11" s="17" t="s">
        <v>33</v>
      </c>
      <c r="K11" s="17" t="s">
        <v>120</v>
      </c>
      <c r="L11" s="20">
        <v>78050</v>
      </c>
      <c r="M11" s="20">
        <v>0</v>
      </c>
      <c r="N11" s="20">
        <v>62000</v>
      </c>
      <c r="O11" s="20">
        <v>0</v>
      </c>
      <c r="P11" s="20">
        <v>16050</v>
      </c>
      <c r="Q11" s="20">
        <v>0</v>
      </c>
      <c r="R11" s="20">
        <v>0</v>
      </c>
      <c r="S11" s="26">
        <v>16016.31</v>
      </c>
      <c r="T11" s="26">
        <v>40000</v>
      </c>
      <c r="U11" s="26">
        <v>0</v>
      </c>
      <c r="V11" s="26">
        <v>40000</v>
      </c>
      <c r="W11" s="26">
        <v>0</v>
      </c>
      <c r="X11" s="26">
        <v>0</v>
      </c>
      <c r="Y11" s="26">
        <v>0</v>
      </c>
      <c r="Z11" s="26">
        <v>0</v>
      </c>
      <c r="AA11" s="19" t="s">
        <v>121</v>
      </c>
      <c r="AB11" s="27" t="s">
        <v>36</v>
      </c>
      <c r="AC11" s="23"/>
      <c r="AD11" s="23"/>
      <c r="AE11" s="19" t="s">
        <v>71</v>
      </c>
    </row>
    <row r="12" ht="277" customHeight="1" spans="1:31">
      <c r="A12" s="17">
        <v>7</v>
      </c>
      <c r="B12" s="17" t="s">
        <v>122</v>
      </c>
      <c r="C12" s="19" t="s">
        <v>50</v>
      </c>
      <c r="D12" s="17" t="s">
        <v>68</v>
      </c>
      <c r="E12" s="17" t="s">
        <v>42</v>
      </c>
      <c r="F12" s="18" t="s">
        <v>123</v>
      </c>
      <c r="G12" s="17" t="s">
        <v>124</v>
      </c>
      <c r="H12" s="19" t="s">
        <v>125</v>
      </c>
      <c r="I12" s="17" t="s">
        <v>54</v>
      </c>
      <c r="J12" s="17" t="s">
        <v>33</v>
      </c>
      <c r="K12" s="17" t="s">
        <v>126</v>
      </c>
      <c r="L12" s="20">
        <v>212300</v>
      </c>
      <c r="M12" s="26">
        <v>0</v>
      </c>
      <c r="N12" s="26">
        <v>0</v>
      </c>
      <c r="O12" s="26">
        <v>0</v>
      </c>
      <c r="P12" s="20">
        <v>52300</v>
      </c>
      <c r="Q12" s="20">
        <v>160000</v>
      </c>
      <c r="R12" s="26">
        <v>0</v>
      </c>
      <c r="S12" s="25">
        <v>107232.272462</v>
      </c>
      <c r="T12" s="26">
        <v>2000</v>
      </c>
      <c r="U12" s="26">
        <v>0</v>
      </c>
      <c r="V12" s="26">
        <v>0</v>
      </c>
      <c r="W12" s="26">
        <v>0</v>
      </c>
      <c r="X12" s="25">
        <v>500</v>
      </c>
      <c r="Y12" s="26">
        <v>1500</v>
      </c>
      <c r="Z12" s="26">
        <v>0</v>
      </c>
      <c r="AA12" s="19" t="s">
        <v>127</v>
      </c>
      <c r="AB12" s="27" t="s">
        <v>36</v>
      </c>
      <c r="AC12" s="23"/>
      <c r="AD12" s="23"/>
      <c r="AE12" s="19" t="s">
        <v>71</v>
      </c>
    </row>
    <row r="13" ht="189" customHeight="1" spans="1:31">
      <c r="A13" s="19">
        <v>8</v>
      </c>
      <c r="B13" s="17" t="s">
        <v>128</v>
      </c>
      <c r="C13" s="19" t="s">
        <v>50</v>
      </c>
      <c r="D13" s="17" t="s">
        <v>68</v>
      </c>
      <c r="E13" s="17" t="s">
        <v>42</v>
      </c>
      <c r="F13" s="18" t="s">
        <v>129</v>
      </c>
      <c r="G13" s="17" t="s">
        <v>130</v>
      </c>
      <c r="H13" s="17" t="s">
        <v>99</v>
      </c>
      <c r="I13" s="17" t="s">
        <v>53</v>
      </c>
      <c r="J13" s="32" t="s">
        <v>33</v>
      </c>
      <c r="K13" s="32" t="s">
        <v>131</v>
      </c>
      <c r="L13" s="33">
        <v>49900</v>
      </c>
      <c r="M13" s="34">
        <v>0</v>
      </c>
      <c r="N13" s="34">
        <v>40000</v>
      </c>
      <c r="O13" s="34">
        <v>0</v>
      </c>
      <c r="P13" s="33">
        <v>0</v>
      </c>
      <c r="Q13" s="33">
        <v>9900</v>
      </c>
      <c r="R13" s="34">
        <v>0</v>
      </c>
      <c r="S13" s="35">
        <v>5238</v>
      </c>
      <c r="T13" s="34">
        <v>12000</v>
      </c>
      <c r="U13" s="34">
        <v>0</v>
      </c>
      <c r="V13" s="35">
        <v>12000</v>
      </c>
      <c r="W13" s="34">
        <v>0</v>
      </c>
      <c r="X13" s="26">
        <v>0</v>
      </c>
      <c r="Y13" s="34">
        <v>0</v>
      </c>
      <c r="Z13" s="34">
        <v>0</v>
      </c>
      <c r="AA13" s="19" t="s">
        <v>109</v>
      </c>
      <c r="AB13" s="27" t="s">
        <v>36</v>
      </c>
      <c r="AC13" s="36"/>
      <c r="AD13" s="36"/>
      <c r="AE13" s="19" t="s">
        <v>71</v>
      </c>
    </row>
    <row r="14" ht="266" customHeight="1" spans="1:31">
      <c r="A14" s="17">
        <v>9</v>
      </c>
      <c r="B14" s="19" t="s">
        <v>132</v>
      </c>
      <c r="C14" s="19" t="s">
        <v>50</v>
      </c>
      <c r="D14" s="19" t="s">
        <v>68</v>
      </c>
      <c r="E14" s="19" t="s">
        <v>43</v>
      </c>
      <c r="F14" s="24" t="s">
        <v>133</v>
      </c>
      <c r="G14" s="19" t="s">
        <v>134</v>
      </c>
      <c r="H14" s="19" t="s">
        <v>99</v>
      </c>
      <c r="I14" s="19" t="s">
        <v>53</v>
      </c>
      <c r="J14" s="32" t="s">
        <v>33</v>
      </c>
      <c r="K14" s="19" t="s">
        <v>135</v>
      </c>
      <c r="L14" s="25">
        <v>14999</v>
      </c>
      <c r="M14" s="25">
        <v>0</v>
      </c>
      <c r="N14" s="25">
        <v>0</v>
      </c>
      <c r="O14" s="25">
        <v>11999</v>
      </c>
      <c r="P14" s="25">
        <v>0</v>
      </c>
      <c r="Q14" s="25">
        <v>0</v>
      </c>
      <c r="R14" s="25">
        <v>3000</v>
      </c>
      <c r="S14" s="26">
        <v>5390</v>
      </c>
      <c r="T14" s="25">
        <v>6200</v>
      </c>
      <c r="U14" s="26">
        <v>0</v>
      </c>
      <c r="V14" s="26">
        <v>0</v>
      </c>
      <c r="W14" s="26">
        <v>6200</v>
      </c>
      <c r="X14" s="26">
        <v>0</v>
      </c>
      <c r="Y14" s="26">
        <v>0</v>
      </c>
      <c r="Z14" s="26">
        <v>0</v>
      </c>
      <c r="AA14" s="19" t="s">
        <v>136</v>
      </c>
      <c r="AB14" s="23" t="s">
        <v>36</v>
      </c>
      <c r="AC14" s="22"/>
      <c r="AD14" s="22"/>
      <c r="AE14" s="19" t="s">
        <v>71</v>
      </c>
    </row>
    <row r="15" ht="213" customHeight="1" spans="1:31">
      <c r="A15" s="19">
        <v>10</v>
      </c>
      <c r="B15" s="19" t="s">
        <v>137</v>
      </c>
      <c r="C15" s="19" t="s">
        <v>50</v>
      </c>
      <c r="D15" s="19" t="s">
        <v>68</v>
      </c>
      <c r="E15" s="19" t="s">
        <v>43</v>
      </c>
      <c r="F15" s="24" t="s">
        <v>138</v>
      </c>
      <c r="G15" s="19" t="s">
        <v>139</v>
      </c>
      <c r="H15" s="19" t="s">
        <v>99</v>
      </c>
      <c r="I15" s="19" t="s">
        <v>54</v>
      </c>
      <c r="J15" s="32" t="s">
        <v>33</v>
      </c>
      <c r="K15" s="19" t="s">
        <v>140</v>
      </c>
      <c r="L15" s="25">
        <v>12917.25</v>
      </c>
      <c r="M15" s="25">
        <v>0</v>
      </c>
      <c r="N15" s="25">
        <v>11314.25</v>
      </c>
      <c r="O15" s="25">
        <v>0</v>
      </c>
      <c r="P15" s="25">
        <v>1603</v>
      </c>
      <c r="Q15" s="25">
        <v>0</v>
      </c>
      <c r="R15" s="25">
        <v>0</v>
      </c>
      <c r="S15" s="26">
        <v>8043.7</v>
      </c>
      <c r="T15" s="26">
        <v>3580</v>
      </c>
      <c r="U15" s="26">
        <v>0</v>
      </c>
      <c r="V15" s="26">
        <v>3580</v>
      </c>
      <c r="W15" s="26">
        <v>0</v>
      </c>
      <c r="X15" s="26">
        <v>0</v>
      </c>
      <c r="Y15" s="26">
        <v>0</v>
      </c>
      <c r="Z15" s="26">
        <v>0</v>
      </c>
      <c r="AA15" s="25" t="s">
        <v>141</v>
      </c>
      <c r="AB15" s="23" t="s">
        <v>36</v>
      </c>
      <c r="AC15" s="23"/>
      <c r="AD15" s="23"/>
      <c r="AE15" s="19" t="s">
        <v>71</v>
      </c>
    </row>
    <row r="16" ht="273" customHeight="1" spans="1:31">
      <c r="A16" s="17">
        <v>11</v>
      </c>
      <c r="B16" s="19" t="s">
        <v>142</v>
      </c>
      <c r="C16" s="19" t="s">
        <v>50</v>
      </c>
      <c r="D16" s="19" t="s">
        <v>68</v>
      </c>
      <c r="E16" s="19" t="s">
        <v>44</v>
      </c>
      <c r="F16" s="24" t="s">
        <v>143</v>
      </c>
      <c r="G16" s="19" t="s">
        <v>144</v>
      </c>
      <c r="H16" s="17" t="s">
        <v>99</v>
      </c>
      <c r="I16" s="17" t="s">
        <v>54</v>
      </c>
      <c r="J16" s="17" t="s">
        <v>33</v>
      </c>
      <c r="K16" s="37" t="s">
        <v>145</v>
      </c>
      <c r="L16" s="38">
        <v>1800</v>
      </c>
      <c r="M16" s="25">
        <v>0</v>
      </c>
      <c r="N16" s="25">
        <v>0</v>
      </c>
      <c r="O16" s="25">
        <v>0</v>
      </c>
      <c r="P16" s="25">
        <v>0</v>
      </c>
      <c r="Q16" s="38">
        <v>1800</v>
      </c>
      <c r="R16" s="25">
        <v>0</v>
      </c>
      <c r="S16" s="38">
        <v>1400</v>
      </c>
      <c r="T16" s="38">
        <v>400</v>
      </c>
      <c r="U16" s="25">
        <v>0</v>
      </c>
      <c r="V16" s="25">
        <v>0</v>
      </c>
      <c r="W16" s="25">
        <v>0</v>
      </c>
      <c r="X16" s="25">
        <v>0</v>
      </c>
      <c r="Y16" s="38">
        <v>400</v>
      </c>
      <c r="Z16" s="25">
        <v>0</v>
      </c>
      <c r="AA16" s="20" t="s">
        <v>146</v>
      </c>
      <c r="AB16" s="38" t="s">
        <v>36</v>
      </c>
      <c r="AC16" s="38"/>
      <c r="AD16" s="27"/>
      <c r="AE16" s="23" t="s">
        <v>71</v>
      </c>
    </row>
    <row r="17" ht="405" customHeight="1" spans="1:31">
      <c r="A17" s="19">
        <v>12</v>
      </c>
      <c r="B17" s="17" t="s">
        <v>147</v>
      </c>
      <c r="C17" s="19" t="s">
        <v>50</v>
      </c>
      <c r="D17" s="17" t="s">
        <v>68</v>
      </c>
      <c r="E17" s="17" t="s">
        <v>48</v>
      </c>
      <c r="F17" s="18" t="s">
        <v>148</v>
      </c>
      <c r="G17" s="17" t="s">
        <v>149</v>
      </c>
      <c r="H17" s="17" t="s">
        <v>99</v>
      </c>
      <c r="I17" s="17" t="s">
        <v>53</v>
      </c>
      <c r="J17" s="39" t="s">
        <v>33</v>
      </c>
      <c r="K17" s="39" t="s">
        <v>150</v>
      </c>
      <c r="L17" s="38">
        <v>17306</v>
      </c>
      <c r="M17" s="38">
        <v>0</v>
      </c>
      <c r="N17" s="40">
        <v>7300</v>
      </c>
      <c r="O17" s="38">
        <v>0</v>
      </c>
      <c r="P17" s="38">
        <v>1570.51</v>
      </c>
      <c r="Q17" s="38">
        <v>8435.49</v>
      </c>
      <c r="R17" s="38">
        <v>0</v>
      </c>
      <c r="S17" s="41">
        <v>8870.51</v>
      </c>
      <c r="T17" s="38">
        <v>2179</v>
      </c>
      <c r="U17" s="38">
        <v>0</v>
      </c>
      <c r="V17" s="38">
        <v>0</v>
      </c>
      <c r="W17" s="38">
        <v>0</v>
      </c>
      <c r="X17" s="38">
        <v>0</v>
      </c>
      <c r="Y17" s="38">
        <v>2179</v>
      </c>
      <c r="Z17" s="38">
        <v>0</v>
      </c>
      <c r="AA17" s="19" t="s">
        <v>151</v>
      </c>
      <c r="AB17" s="27" t="s">
        <v>36</v>
      </c>
      <c r="AC17" s="42"/>
      <c r="AD17" s="42"/>
      <c r="AE17" s="23" t="s">
        <v>71</v>
      </c>
    </row>
    <row r="18" ht="408" customHeight="1" spans="1:31">
      <c r="A18" s="17">
        <v>13</v>
      </c>
      <c r="B18" s="17" t="s">
        <v>152</v>
      </c>
      <c r="C18" s="19" t="s">
        <v>61</v>
      </c>
      <c r="D18" s="17" t="s">
        <v>68</v>
      </c>
      <c r="E18" s="17" t="s">
        <v>28</v>
      </c>
      <c r="F18" s="18" t="s">
        <v>153</v>
      </c>
      <c r="G18" s="17" t="s">
        <v>154</v>
      </c>
      <c r="H18" s="17" t="s">
        <v>99</v>
      </c>
      <c r="I18" s="19" t="s">
        <v>33</v>
      </c>
      <c r="J18" s="17" t="s">
        <v>63</v>
      </c>
      <c r="K18" s="43" t="s">
        <v>155</v>
      </c>
      <c r="L18" s="38">
        <v>18000</v>
      </c>
      <c r="M18" s="25">
        <v>0</v>
      </c>
      <c r="N18" s="25">
        <v>0</v>
      </c>
      <c r="O18" s="25">
        <v>0</v>
      </c>
      <c r="P18" s="41">
        <v>18000</v>
      </c>
      <c r="Q18" s="41">
        <f>L18-P18</f>
        <v>0</v>
      </c>
      <c r="R18" s="25">
        <v>0</v>
      </c>
      <c r="S18" s="41">
        <v>15800</v>
      </c>
      <c r="T18" s="41">
        <f>+L18-S18</f>
        <v>2200</v>
      </c>
      <c r="U18" s="25">
        <v>0</v>
      </c>
      <c r="V18" s="25">
        <v>0</v>
      </c>
      <c r="W18" s="25">
        <v>0</v>
      </c>
      <c r="X18" s="41">
        <f>+T18</f>
        <v>2200</v>
      </c>
      <c r="Y18" s="41">
        <f>T18-X18</f>
        <v>0</v>
      </c>
      <c r="Z18" s="25">
        <v>0</v>
      </c>
      <c r="AA18" s="44" t="s">
        <v>156</v>
      </c>
      <c r="AB18" s="45" t="s">
        <v>36</v>
      </c>
      <c r="AC18" s="27"/>
      <c r="AD18" s="27"/>
      <c r="AE18" s="23" t="s">
        <v>71</v>
      </c>
    </row>
    <row r="19" ht="307" customHeight="1" spans="1:31">
      <c r="A19" s="17">
        <v>14</v>
      </c>
      <c r="B19" s="19" t="s">
        <v>157</v>
      </c>
      <c r="C19" s="19" t="s">
        <v>61</v>
      </c>
      <c r="D19" s="19" t="s">
        <v>68</v>
      </c>
      <c r="E19" s="19" t="s">
        <v>43</v>
      </c>
      <c r="F19" s="24" t="s">
        <v>158</v>
      </c>
      <c r="G19" s="19" t="s">
        <v>43</v>
      </c>
      <c r="H19" s="19" t="s">
        <v>99</v>
      </c>
      <c r="I19" s="32" t="s">
        <v>33</v>
      </c>
      <c r="J19" s="19" t="s">
        <v>64</v>
      </c>
      <c r="K19" s="19" t="s">
        <v>159</v>
      </c>
      <c r="L19" s="25">
        <v>167774</v>
      </c>
      <c r="M19" s="25">
        <v>2140</v>
      </c>
      <c r="N19" s="25">
        <v>0</v>
      </c>
      <c r="O19" s="25">
        <v>16777</v>
      </c>
      <c r="P19" s="25">
        <v>16777</v>
      </c>
      <c r="Q19" s="25">
        <v>132080</v>
      </c>
      <c r="R19" s="25">
        <v>0</v>
      </c>
      <c r="S19" s="26">
        <v>35529.7</v>
      </c>
      <c r="T19" s="25">
        <v>9400</v>
      </c>
      <c r="U19" s="26">
        <v>0</v>
      </c>
      <c r="V19" s="26">
        <v>0</v>
      </c>
      <c r="W19" s="26">
        <v>4716</v>
      </c>
      <c r="X19" s="26">
        <v>0</v>
      </c>
      <c r="Y19" s="26">
        <v>4684</v>
      </c>
      <c r="Z19" s="26">
        <v>0</v>
      </c>
      <c r="AA19" s="25" t="s">
        <v>160</v>
      </c>
      <c r="AB19" s="23" t="s">
        <v>36</v>
      </c>
      <c r="AC19" s="23"/>
      <c r="AD19" s="23"/>
      <c r="AE19" s="19" t="s">
        <v>71</v>
      </c>
    </row>
    <row r="20" ht="249" customHeight="1" spans="1:31">
      <c r="A20" s="17">
        <v>15</v>
      </c>
      <c r="B20" s="19" t="s">
        <v>161</v>
      </c>
      <c r="C20" s="19" t="s">
        <v>61</v>
      </c>
      <c r="D20" s="19" t="s">
        <v>68</v>
      </c>
      <c r="E20" s="19" t="s">
        <v>43</v>
      </c>
      <c r="F20" s="24" t="s">
        <v>162</v>
      </c>
      <c r="G20" s="19" t="s">
        <v>163</v>
      </c>
      <c r="H20" s="19" t="s">
        <v>99</v>
      </c>
      <c r="I20" s="32" t="s">
        <v>33</v>
      </c>
      <c r="J20" s="19" t="s">
        <v>64</v>
      </c>
      <c r="K20" s="19" t="s">
        <v>164</v>
      </c>
      <c r="L20" s="25">
        <v>66585</v>
      </c>
      <c r="M20" s="25">
        <v>0</v>
      </c>
      <c r="N20" s="25">
        <v>0</v>
      </c>
      <c r="O20" s="25">
        <v>0</v>
      </c>
      <c r="P20" s="26">
        <v>13317</v>
      </c>
      <c r="Q20" s="26">
        <v>53268</v>
      </c>
      <c r="R20" s="25">
        <v>0</v>
      </c>
      <c r="S20" s="26">
        <v>9000.8</v>
      </c>
      <c r="T20" s="25">
        <v>28329.5</v>
      </c>
      <c r="U20" s="26">
        <v>0</v>
      </c>
      <c r="V20" s="26">
        <v>0</v>
      </c>
      <c r="W20" s="26">
        <v>0</v>
      </c>
      <c r="X20" s="26">
        <v>1695.5</v>
      </c>
      <c r="Y20" s="26">
        <v>26634</v>
      </c>
      <c r="Z20" s="26">
        <v>0</v>
      </c>
      <c r="AA20" s="25" t="s">
        <v>165</v>
      </c>
      <c r="AB20" s="23" t="s">
        <v>36</v>
      </c>
      <c r="AC20" s="22"/>
      <c r="AD20" s="22"/>
      <c r="AE20" s="23" t="s">
        <v>73</v>
      </c>
    </row>
    <row r="21" ht="324" customHeight="1" spans="1:31">
      <c r="A21" s="17">
        <v>16</v>
      </c>
      <c r="B21" s="19" t="s">
        <v>166</v>
      </c>
      <c r="C21" s="19" t="s">
        <v>61</v>
      </c>
      <c r="D21" s="17" t="s">
        <v>68</v>
      </c>
      <c r="E21" s="17" t="s">
        <v>44</v>
      </c>
      <c r="F21" s="18" t="s">
        <v>167</v>
      </c>
      <c r="G21" s="17" t="s">
        <v>168</v>
      </c>
      <c r="H21" s="17" t="s">
        <v>99</v>
      </c>
      <c r="I21" s="32" t="s">
        <v>33</v>
      </c>
      <c r="J21" s="17" t="s">
        <v>65</v>
      </c>
      <c r="K21" s="39" t="s">
        <v>169</v>
      </c>
      <c r="L21" s="38">
        <v>28700</v>
      </c>
      <c r="M21" s="25">
        <v>0</v>
      </c>
      <c r="N21" s="25">
        <v>0</v>
      </c>
      <c r="O21" s="25">
        <v>0</v>
      </c>
      <c r="P21" s="25">
        <v>0</v>
      </c>
      <c r="Q21" s="38">
        <v>28700</v>
      </c>
      <c r="R21" s="25">
        <v>0</v>
      </c>
      <c r="S21" s="41">
        <v>11380.52</v>
      </c>
      <c r="T21" s="41">
        <v>12000</v>
      </c>
      <c r="U21" s="25">
        <v>0</v>
      </c>
      <c r="V21" s="25">
        <v>0</v>
      </c>
      <c r="W21" s="25">
        <v>0</v>
      </c>
      <c r="X21" s="25">
        <v>0</v>
      </c>
      <c r="Y21" s="41">
        <v>12000</v>
      </c>
      <c r="Z21" s="25">
        <v>0</v>
      </c>
      <c r="AA21" s="19" t="s">
        <v>170</v>
      </c>
      <c r="AB21" s="27" t="s">
        <v>36</v>
      </c>
      <c r="AC21" s="27"/>
      <c r="AD21" s="27"/>
      <c r="AE21" s="19" t="s">
        <v>71</v>
      </c>
    </row>
    <row r="22" ht="328" customHeight="1" spans="1:31">
      <c r="A22" s="17">
        <v>17</v>
      </c>
      <c r="B22" s="19" t="s">
        <v>171</v>
      </c>
      <c r="C22" s="19" t="s">
        <v>61</v>
      </c>
      <c r="D22" s="19" t="s">
        <v>68</v>
      </c>
      <c r="E22" s="19" t="s">
        <v>45</v>
      </c>
      <c r="F22" s="24" t="s">
        <v>172</v>
      </c>
      <c r="G22" s="19" t="s">
        <v>173</v>
      </c>
      <c r="H22" s="19" t="s">
        <v>99</v>
      </c>
      <c r="I22" s="46" t="s">
        <v>33</v>
      </c>
      <c r="J22" s="19" t="s">
        <v>64</v>
      </c>
      <c r="K22" s="37" t="s">
        <v>174</v>
      </c>
      <c r="L22" s="40">
        <v>15000</v>
      </c>
      <c r="M22" s="40">
        <v>0</v>
      </c>
      <c r="N22" s="40">
        <v>10500</v>
      </c>
      <c r="O22" s="40">
        <v>1500</v>
      </c>
      <c r="P22" s="40">
        <v>3000</v>
      </c>
      <c r="Q22" s="40">
        <v>0</v>
      </c>
      <c r="R22" s="40">
        <v>0</v>
      </c>
      <c r="S22" s="40">
        <v>10321</v>
      </c>
      <c r="T22" s="40">
        <v>4500</v>
      </c>
      <c r="U22" s="40">
        <v>0</v>
      </c>
      <c r="V22" s="40">
        <v>4500</v>
      </c>
      <c r="W22" s="40">
        <v>0</v>
      </c>
      <c r="X22" s="40">
        <v>0</v>
      </c>
      <c r="Y22" s="40">
        <v>0</v>
      </c>
      <c r="Z22" s="40">
        <v>0</v>
      </c>
      <c r="AA22" s="19" t="s">
        <v>175</v>
      </c>
      <c r="AB22" s="37" t="s">
        <v>36</v>
      </c>
      <c r="AC22" s="37"/>
      <c r="AD22" s="37"/>
      <c r="AE22" s="23" t="s">
        <v>71</v>
      </c>
    </row>
    <row r="23" ht="191" customHeight="1" spans="1:31">
      <c r="A23" s="17">
        <v>1</v>
      </c>
      <c r="B23" s="47" t="s">
        <v>176</v>
      </c>
      <c r="C23" s="47" t="s">
        <v>50</v>
      </c>
      <c r="D23" s="47" t="s">
        <v>69</v>
      </c>
      <c r="E23" s="47" t="s">
        <v>43</v>
      </c>
      <c r="F23" s="48" t="s">
        <v>177</v>
      </c>
      <c r="G23" s="47" t="s">
        <v>178</v>
      </c>
      <c r="H23" s="47" t="s">
        <v>99</v>
      </c>
      <c r="I23" s="47" t="s">
        <v>54</v>
      </c>
      <c r="J23" s="19" t="s">
        <v>33</v>
      </c>
      <c r="K23" s="49" t="s">
        <v>179</v>
      </c>
      <c r="L23" s="49">
        <v>19239</v>
      </c>
      <c r="M23" s="49">
        <v>4500</v>
      </c>
      <c r="N23" s="49">
        <v>10000</v>
      </c>
      <c r="O23" s="49">
        <v>0</v>
      </c>
      <c r="P23" s="49">
        <v>4739</v>
      </c>
      <c r="Q23" s="49">
        <v>0</v>
      </c>
      <c r="R23" s="49">
        <v>0</v>
      </c>
      <c r="S23" s="49">
        <v>0</v>
      </c>
      <c r="T23" s="49">
        <v>1000</v>
      </c>
      <c r="U23" s="49">
        <v>0</v>
      </c>
      <c r="V23" s="49">
        <v>0</v>
      </c>
      <c r="W23" s="49">
        <v>0</v>
      </c>
      <c r="X23" s="49">
        <v>1000</v>
      </c>
      <c r="Y23" s="49">
        <v>0</v>
      </c>
      <c r="Z23" s="49">
        <v>0</v>
      </c>
      <c r="AA23" s="25" t="s">
        <v>180</v>
      </c>
      <c r="AB23" s="19" t="s">
        <v>36</v>
      </c>
      <c r="AC23" s="19"/>
      <c r="AD23" s="19"/>
      <c r="AE23" s="23" t="s">
        <v>71</v>
      </c>
    </row>
    <row r="24" ht="266" customHeight="1" spans="1:31">
      <c r="A24" s="17">
        <v>2</v>
      </c>
      <c r="B24" s="19" t="s">
        <v>181</v>
      </c>
      <c r="C24" s="19" t="s">
        <v>61</v>
      </c>
      <c r="D24" s="19" t="s">
        <v>69</v>
      </c>
      <c r="E24" s="19" t="s">
        <v>28</v>
      </c>
      <c r="F24" s="24" t="s">
        <v>182</v>
      </c>
      <c r="G24" s="19" t="s">
        <v>28</v>
      </c>
      <c r="H24" s="19" t="s">
        <v>99</v>
      </c>
      <c r="I24" s="39" t="s">
        <v>33</v>
      </c>
      <c r="J24" s="19" t="s">
        <v>62</v>
      </c>
      <c r="K24" s="19" t="s">
        <v>183</v>
      </c>
      <c r="L24" s="19">
        <v>6000</v>
      </c>
      <c r="M24" s="19">
        <v>0</v>
      </c>
      <c r="N24" s="19">
        <v>0</v>
      </c>
      <c r="O24" s="19">
        <v>0</v>
      </c>
      <c r="P24" s="19">
        <v>6000</v>
      </c>
      <c r="Q24" s="19">
        <v>0</v>
      </c>
      <c r="R24" s="19">
        <v>0</v>
      </c>
      <c r="S24" s="19">
        <v>0</v>
      </c>
      <c r="T24" s="19">
        <v>5000</v>
      </c>
      <c r="U24" s="19">
        <v>0</v>
      </c>
      <c r="V24" s="19">
        <v>0</v>
      </c>
      <c r="W24" s="19">
        <v>0</v>
      </c>
      <c r="X24" s="19">
        <v>5000</v>
      </c>
      <c r="Y24" s="19">
        <v>0</v>
      </c>
      <c r="Z24" s="19">
        <v>0</v>
      </c>
      <c r="AA24" s="50" t="s">
        <v>184</v>
      </c>
      <c r="AB24" s="45" t="s">
        <v>36</v>
      </c>
      <c r="AC24" s="19"/>
      <c r="AD24" s="19"/>
      <c r="AE24" s="23" t="s">
        <v>71</v>
      </c>
    </row>
    <row r="25" ht="142" customHeight="1" spans="1:31">
      <c r="A25" s="17">
        <v>3</v>
      </c>
      <c r="B25" s="19" t="s">
        <v>185</v>
      </c>
      <c r="C25" s="19" t="s">
        <v>61</v>
      </c>
      <c r="D25" s="19" t="s">
        <v>69</v>
      </c>
      <c r="E25" s="19" t="s">
        <v>28</v>
      </c>
      <c r="F25" s="19" t="s">
        <v>186</v>
      </c>
      <c r="G25" s="19" t="s">
        <v>28</v>
      </c>
      <c r="H25" s="19" t="s">
        <v>187</v>
      </c>
      <c r="I25" s="39" t="s">
        <v>33</v>
      </c>
      <c r="J25" s="19" t="s">
        <v>65</v>
      </c>
      <c r="K25" s="19" t="s">
        <v>188</v>
      </c>
      <c r="L25" s="19">
        <v>3506</v>
      </c>
      <c r="M25" s="19">
        <v>0</v>
      </c>
      <c r="N25" s="19">
        <v>0</v>
      </c>
      <c r="O25" s="19">
        <v>0</v>
      </c>
      <c r="P25" s="19">
        <v>3506</v>
      </c>
      <c r="Q25" s="19">
        <v>0</v>
      </c>
      <c r="R25" s="19">
        <v>0</v>
      </c>
      <c r="S25" s="19">
        <v>0</v>
      </c>
      <c r="T25" s="19">
        <v>3506</v>
      </c>
      <c r="U25" s="19">
        <v>0</v>
      </c>
      <c r="V25" s="19">
        <v>0</v>
      </c>
      <c r="W25" s="19">
        <v>0</v>
      </c>
      <c r="X25" s="19">
        <v>3506</v>
      </c>
      <c r="Y25" s="19">
        <v>0</v>
      </c>
      <c r="Z25" s="19">
        <v>0</v>
      </c>
      <c r="AA25" s="51" t="s">
        <v>189</v>
      </c>
      <c r="AB25" s="45" t="s">
        <v>36</v>
      </c>
      <c r="AC25" s="45"/>
      <c r="AD25" s="52"/>
      <c r="AE25" s="53" t="s">
        <v>73</v>
      </c>
    </row>
    <row r="26" s="1" customFormat="1" ht="163" customHeight="1" spans="1:31">
      <c r="A26" s="17">
        <v>4</v>
      </c>
      <c r="B26" s="19" t="s">
        <v>190</v>
      </c>
      <c r="C26" s="19" t="s">
        <v>61</v>
      </c>
      <c r="D26" s="19" t="s">
        <v>69</v>
      </c>
      <c r="E26" s="47" t="s">
        <v>43</v>
      </c>
      <c r="F26" s="24" t="s">
        <v>191</v>
      </c>
      <c r="G26" s="19" t="s">
        <v>43</v>
      </c>
      <c r="H26" s="19" t="s">
        <v>187</v>
      </c>
      <c r="I26" s="19" t="s">
        <v>33</v>
      </c>
      <c r="J26" s="19" t="s">
        <v>64</v>
      </c>
      <c r="K26" s="37" t="s">
        <v>192</v>
      </c>
      <c r="L26" s="49">
        <v>1069</v>
      </c>
      <c r="M26" s="49">
        <v>0</v>
      </c>
      <c r="N26" s="49">
        <v>0</v>
      </c>
      <c r="O26" s="49">
        <v>0</v>
      </c>
      <c r="P26" s="49">
        <v>1069</v>
      </c>
      <c r="Q26" s="49">
        <v>0</v>
      </c>
      <c r="R26" s="49">
        <v>0</v>
      </c>
      <c r="S26" s="49">
        <v>0</v>
      </c>
      <c r="T26" s="49">
        <v>1069</v>
      </c>
      <c r="U26" s="49">
        <v>0</v>
      </c>
      <c r="V26" s="49">
        <v>0</v>
      </c>
      <c r="W26" s="49">
        <v>0</v>
      </c>
      <c r="X26" s="49">
        <v>1069</v>
      </c>
      <c r="Y26" s="49">
        <v>0</v>
      </c>
      <c r="Z26" s="49">
        <v>0</v>
      </c>
      <c r="AA26" s="19" t="s">
        <v>193</v>
      </c>
      <c r="AB26" s="19" t="s">
        <v>36</v>
      </c>
      <c r="AC26" s="19"/>
      <c r="AD26" s="19"/>
      <c r="AE26" s="23" t="s">
        <v>71</v>
      </c>
    </row>
    <row r="27" ht="324" customHeight="1" spans="1:31">
      <c r="A27" s="17">
        <v>5</v>
      </c>
      <c r="B27" s="19" t="s">
        <v>194</v>
      </c>
      <c r="C27" s="19" t="s">
        <v>61</v>
      </c>
      <c r="D27" s="19" t="s">
        <v>69</v>
      </c>
      <c r="E27" s="47" t="s">
        <v>43</v>
      </c>
      <c r="F27" s="24" t="s">
        <v>195</v>
      </c>
      <c r="G27" s="19" t="s">
        <v>196</v>
      </c>
      <c r="H27" s="19" t="s">
        <v>99</v>
      </c>
      <c r="I27" s="19" t="s">
        <v>33</v>
      </c>
      <c r="J27" s="19" t="s">
        <v>64</v>
      </c>
      <c r="K27" s="37" t="s">
        <v>197</v>
      </c>
      <c r="L27" s="49">
        <v>4910</v>
      </c>
      <c r="M27" s="49">
        <v>0</v>
      </c>
      <c r="N27" s="49">
        <v>0</v>
      </c>
      <c r="O27" s="49">
        <v>0</v>
      </c>
      <c r="P27" s="49">
        <v>1437</v>
      </c>
      <c r="Q27" s="49">
        <v>3473</v>
      </c>
      <c r="R27" s="49">
        <v>0</v>
      </c>
      <c r="S27" s="49">
        <v>0</v>
      </c>
      <c r="T27" s="49">
        <v>1000</v>
      </c>
      <c r="U27" s="49">
        <v>0</v>
      </c>
      <c r="V27" s="49">
        <v>0</v>
      </c>
      <c r="W27" s="49">
        <v>0</v>
      </c>
      <c r="X27" s="49">
        <v>1000</v>
      </c>
      <c r="Y27" s="49">
        <v>0</v>
      </c>
      <c r="Z27" s="49">
        <v>0</v>
      </c>
      <c r="AA27" s="19" t="s">
        <v>198</v>
      </c>
      <c r="AB27" s="19" t="s">
        <v>36</v>
      </c>
      <c r="AC27" s="19"/>
      <c r="AD27" s="19"/>
      <c r="AE27" s="23" t="s">
        <v>71</v>
      </c>
    </row>
    <row r="28" ht="228" customHeight="1" spans="1:31">
      <c r="A28" s="17">
        <v>6</v>
      </c>
      <c r="B28" s="19" t="s">
        <v>199</v>
      </c>
      <c r="C28" s="19" t="s">
        <v>61</v>
      </c>
      <c r="D28" s="19" t="s">
        <v>69</v>
      </c>
      <c r="E28" s="19" t="s">
        <v>45</v>
      </c>
      <c r="F28" s="24" t="s">
        <v>200</v>
      </c>
      <c r="G28" s="19" t="s">
        <v>201</v>
      </c>
      <c r="H28" s="19" t="s">
        <v>99</v>
      </c>
      <c r="I28" s="19" t="s">
        <v>33</v>
      </c>
      <c r="J28" s="19" t="s">
        <v>64</v>
      </c>
      <c r="K28" s="19" t="s">
        <v>202</v>
      </c>
      <c r="L28" s="47">
        <v>18</v>
      </c>
      <c r="M28" s="47">
        <v>0</v>
      </c>
      <c r="N28" s="47">
        <v>0</v>
      </c>
      <c r="O28" s="47">
        <v>0</v>
      </c>
      <c r="P28" s="47">
        <v>18</v>
      </c>
      <c r="Q28" s="47">
        <v>0</v>
      </c>
      <c r="R28" s="47">
        <v>0</v>
      </c>
      <c r="S28" s="47">
        <v>0</v>
      </c>
      <c r="T28" s="47">
        <v>18</v>
      </c>
      <c r="U28" s="47">
        <v>0</v>
      </c>
      <c r="V28" s="47">
        <v>0</v>
      </c>
      <c r="W28" s="47">
        <v>0</v>
      </c>
      <c r="X28" s="47">
        <v>18</v>
      </c>
      <c r="Y28" s="47">
        <v>0</v>
      </c>
      <c r="Z28" s="47">
        <v>0</v>
      </c>
      <c r="AA28" s="19" t="s">
        <v>203</v>
      </c>
      <c r="AB28" s="37" t="s">
        <v>36</v>
      </c>
      <c r="AC28" s="19"/>
      <c r="AD28" s="19"/>
      <c r="AE28" s="23" t="s">
        <v>71</v>
      </c>
    </row>
    <row r="29" ht="61.2" spans="1:31">
      <c r="A29" s="17">
        <v>7</v>
      </c>
      <c r="B29" s="19" t="s">
        <v>204</v>
      </c>
      <c r="C29" s="19" t="s">
        <v>61</v>
      </c>
      <c r="D29" s="17" t="s">
        <v>69</v>
      </c>
      <c r="E29" s="17" t="s">
        <v>45</v>
      </c>
      <c r="F29" s="18" t="s">
        <v>205</v>
      </c>
      <c r="G29" s="19" t="s">
        <v>206</v>
      </c>
      <c r="H29" s="17" t="s">
        <v>99</v>
      </c>
      <c r="I29" s="17" t="s">
        <v>33</v>
      </c>
      <c r="J29" s="17" t="s">
        <v>64</v>
      </c>
      <c r="K29" s="39" t="s">
        <v>202</v>
      </c>
      <c r="L29" s="47">
        <v>185</v>
      </c>
      <c r="M29" s="47">
        <v>0</v>
      </c>
      <c r="N29" s="47">
        <v>0</v>
      </c>
      <c r="O29" s="47">
        <v>0</v>
      </c>
      <c r="P29" s="47">
        <v>185</v>
      </c>
      <c r="Q29" s="47">
        <v>0</v>
      </c>
      <c r="R29" s="47">
        <v>0</v>
      </c>
      <c r="S29" s="47">
        <v>0</v>
      </c>
      <c r="T29" s="47">
        <v>185</v>
      </c>
      <c r="U29" s="47">
        <v>0</v>
      </c>
      <c r="V29" s="47">
        <v>0</v>
      </c>
      <c r="W29" s="47">
        <v>0</v>
      </c>
      <c r="X29" s="47">
        <v>0</v>
      </c>
      <c r="Y29" s="47">
        <v>185</v>
      </c>
      <c r="Z29" s="47">
        <v>0</v>
      </c>
      <c r="AA29" s="19" t="s">
        <v>203</v>
      </c>
      <c r="AB29" s="37" t="s">
        <v>36</v>
      </c>
      <c r="AC29" s="27"/>
      <c r="AD29" s="27"/>
      <c r="AE29" s="23" t="s">
        <v>71</v>
      </c>
    </row>
    <row r="30" ht="62.4" spans="1:31">
      <c r="A30" s="17">
        <v>8</v>
      </c>
      <c r="B30" s="19" t="s">
        <v>207</v>
      </c>
      <c r="C30" s="19" t="s">
        <v>61</v>
      </c>
      <c r="D30" s="19" t="s">
        <v>69</v>
      </c>
      <c r="E30" s="19" t="s">
        <v>45</v>
      </c>
      <c r="F30" s="24" t="s">
        <v>208</v>
      </c>
      <c r="G30" s="19" t="s">
        <v>209</v>
      </c>
      <c r="H30" s="19" t="s">
        <v>99</v>
      </c>
      <c r="I30" s="39" t="s">
        <v>33</v>
      </c>
      <c r="J30" s="19" t="s">
        <v>64</v>
      </c>
      <c r="K30" s="37" t="s">
        <v>210</v>
      </c>
      <c r="L30" s="40">
        <v>1550.21</v>
      </c>
      <c r="M30" s="40">
        <v>0</v>
      </c>
      <c r="N30" s="40">
        <v>0</v>
      </c>
      <c r="O30" s="40">
        <v>0</v>
      </c>
      <c r="P30" s="40">
        <v>1550.21</v>
      </c>
      <c r="Q30" s="40">
        <v>0</v>
      </c>
      <c r="R30" s="40">
        <v>0</v>
      </c>
      <c r="S30" s="40">
        <v>0</v>
      </c>
      <c r="T30" s="40">
        <v>1300</v>
      </c>
      <c r="U30" s="40">
        <v>0</v>
      </c>
      <c r="V30" s="40">
        <v>0</v>
      </c>
      <c r="W30" s="40">
        <v>0</v>
      </c>
      <c r="X30" s="40">
        <v>1300</v>
      </c>
      <c r="Y30" s="40">
        <f>Q30</f>
        <v>0</v>
      </c>
      <c r="Z30" s="40">
        <v>0</v>
      </c>
      <c r="AA30" s="19" t="s">
        <v>211</v>
      </c>
      <c r="AB30" s="27" t="s">
        <v>36</v>
      </c>
      <c r="AC30" s="27"/>
      <c r="AD30" s="27"/>
      <c r="AE30" s="23" t="s">
        <v>73</v>
      </c>
    </row>
    <row r="31" ht="163.2" spans="1:31">
      <c r="A31" s="17">
        <v>9</v>
      </c>
      <c r="B31" s="24" t="s">
        <v>212</v>
      </c>
      <c r="C31" s="19" t="s">
        <v>61</v>
      </c>
      <c r="D31" s="19" t="s">
        <v>69</v>
      </c>
      <c r="E31" s="17" t="s">
        <v>46</v>
      </c>
      <c r="F31" s="24" t="s">
        <v>213</v>
      </c>
      <c r="G31" s="17" t="s">
        <v>214</v>
      </c>
      <c r="H31" s="19" t="s">
        <v>99</v>
      </c>
      <c r="I31" s="17" t="s">
        <v>33</v>
      </c>
      <c r="J31" s="19" t="s">
        <v>66</v>
      </c>
      <c r="K31" s="19" t="s">
        <v>215</v>
      </c>
      <c r="L31" s="25">
        <v>1200</v>
      </c>
      <c r="M31" s="25">
        <v>0</v>
      </c>
      <c r="N31" s="25">
        <v>0</v>
      </c>
      <c r="O31" s="25">
        <v>0</v>
      </c>
      <c r="P31" s="25">
        <v>240</v>
      </c>
      <c r="Q31" s="25">
        <v>960</v>
      </c>
      <c r="R31" s="25">
        <v>0</v>
      </c>
      <c r="S31" s="25">
        <v>0</v>
      </c>
      <c r="T31" s="25">
        <v>1200</v>
      </c>
      <c r="U31" s="25">
        <v>0</v>
      </c>
      <c r="V31" s="25">
        <v>0</v>
      </c>
      <c r="W31" s="25">
        <v>0</v>
      </c>
      <c r="X31" s="25">
        <v>240</v>
      </c>
      <c r="Y31" s="25">
        <v>960</v>
      </c>
      <c r="Z31" s="25">
        <v>0</v>
      </c>
      <c r="AA31" s="50" t="s">
        <v>216</v>
      </c>
      <c r="AB31" s="23" t="s">
        <v>36</v>
      </c>
      <c r="AC31" s="23"/>
      <c r="AD31" s="23"/>
      <c r="AE31" s="19" t="s">
        <v>71</v>
      </c>
    </row>
    <row r="32" ht="71" customHeight="1" spans="1:31">
      <c r="L32" s="54">
        <f t="shared" ref="L32:Z32" si="0">SUM(L6:L31)</f>
        <v>3120945.61341462</v>
      </c>
      <c r="M32" s="54">
        <f t="shared" si="0"/>
        <v>6640</v>
      </c>
      <c r="N32" s="54">
        <f t="shared" si="0"/>
        <v>751717.25</v>
      </c>
      <c r="O32" s="54">
        <f t="shared" si="0"/>
        <v>136436</v>
      </c>
      <c r="P32" s="54">
        <f t="shared" si="0"/>
        <v>161521.72</v>
      </c>
      <c r="Q32" s="54">
        <f t="shared" si="0"/>
        <v>1401531.78204877</v>
      </c>
      <c r="R32" s="54">
        <f t="shared" si="0"/>
        <v>663098.861365848</v>
      </c>
      <c r="S32" s="54">
        <f t="shared" si="0"/>
        <v>968397.812462</v>
      </c>
      <c r="T32" s="54">
        <f t="shared" si="0"/>
        <v>377066.5</v>
      </c>
      <c r="U32" s="54">
        <f t="shared" si="0"/>
        <v>0</v>
      </c>
      <c r="V32" s="54">
        <f t="shared" si="0"/>
        <v>132080</v>
      </c>
      <c r="W32" s="54">
        <f t="shared" si="0"/>
        <v>26916</v>
      </c>
      <c r="X32" s="54">
        <f t="shared" si="0"/>
        <v>32528.5</v>
      </c>
      <c r="Y32" s="54">
        <f t="shared" si="0"/>
        <v>105542</v>
      </c>
      <c r="Z32" s="54">
        <f t="shared" si="0"/>
        <v>80000</v>
      </c>
    </row>
    <row r="33" ht="45" customHeight="1" spans="12:26">
      <c r="L33" s="54">
        <f t="shared" ref="L33:Z33" si="1">SUM(L34:L35)</f>
        <v>3120945.61341462</v>
      </c>
      <c r="M33" s="54">
        <f t="shared" si="1"/>
        <v>6640</v>
      </c>
      <c r="N33" s="54">
        <f t="shared" si="1"/>
        <v>751717.25</v>
      </c>
      <c r="O33" s="54">
        <f t="shared" si="1"/>
        <v>136436</v>
      </c>
      <c r="P33" s="54">
        <f t="shared" si="1"/>
        <v>161521.72</v>
      </c>
      <c r="Q33" s="54">
        <f t="shared" si="1"/>
        <v>1401531.78204877</v>
      </c>
      <c r="R33" s="54">
        <f t="shared" si="1"/>
        <v>663098.861365848</v>
      </c>
      <c r="S33" s="54">
        <f t="shared" si="1"/>
        <v>968397.812462</v>
      </c>
      <c r="T33" s="54">
        <f t="shared" si="1"/>
        <v>377066.5</v>
      </c>
      <c r="U33" s="54">
        <f t="shared" si="1"/>
        <v>0</v>
      </c>
      <c r="V33" s="54">
        <f t="shared" si="1"/>
        <v>132080</v>
      </c>
      <c r="W33" s="54">
        <f t="shared" si="1"/>
        <v>26916</v>
      </c>
      <c r="X33" s="54">
        <f t="shared" si="1"/>
        <v>38528.5</v>
      </c>
      <c r="Y33" s="54">
        <f t="shared" si="1"/>
        <v>99542</v>
      </c>
      <c r="Z33" s="54">
        <f t="shared" si="1"/>
        <v>80000</v>
      </c>
    </row>
    <row r="34" ht="30.6" spans="12:26">
      <c r="L34" s="54">
        <v>37677.21</v>
      </c>
      <c r="M34" s="54">
        <v>4500</v>
      </c>
      <c r="N34" s="54">
        <v>10000</v>
      </c>
      <c r="O34" s="54">
        <v>0</v>
      </c>
      <c r="P34" s="54">
        <v>18744.21</v>
      </c>
      <c r="Q34" s="54">
        <v>4433</v>
      </c>
      <c r="R34" s="54">
        <v>0</v>
      </c>
      <c r="S34" s="54">
        <v>0</v>
      </c>
      <c r="T34" s="54">
        <v>14278</v>
      </c>
      <c r="U34" s="54">
        <v>0</v>
      </c>
      <c r="V34" s="54">
        <v>0</v>
      </c>
      <c r="W34" s="54">
        <v>0</v>
      </c>
      <c r="X34" s="54">
        <v>13133</v>
      </c>
      <c r="Y34" s="54">
        <v>1145</v>
      </c>
      <c r="Z34" s="54">
        <v>0</v>
      </c>
    </row>
    <row r="35" ht="30.6" spans="12:26">
      <c r="L35" s="54">
        <v>3083268.40341462</v>
      </c>
      <c r="M35" s="54">
        <v>2140</v>
      </c>
      <c r="N35" s="54">
        <v>741717.25</v>
      </c>
      <c r="O35" s="54">
        <v>136436</v>
      </c>
      <c r="P35" s="54">
        <v>142777.51</v>
      </c>
      <c r="Q35" s="54">
        <v>1397098.78204877</v>
      </c>
      <c r="R35" s="54">
        <v>663098.861365848</v>
      </c>
      <c r="S35" s="54">
        <v>968397.812462</v>
      </c>
      <c r="T35" s="54">
        <v>362788.5</v>
      </c>
      <c r="U35" s="54">
        <v>0</v>
      </c>
      <c r="V35" s="54">
        <v>132080</v>
      </c>
      <c r="W35" s="54">
        <v>26916</v>
      </c>
      <c r="X35" s="54">
        <v>25395.5</v>
      </c>
      <c r="Y35" s="54">
        <v>98397</v>
      </c>
      <c r="Z35" s="54">
        <v>80000</v>
      </c>
    </row>
    <row r="36" ht="30.6" spans="12:26">
      <c r="L36" s="54"/>
      <c r="M36" s="54"/>
      <c r="N36" s="54"/>
      <c r="O36" s="54"/>
      <c r="P36" s="54"/>
      <c r="Q36" s="54"/>
      <c r="R36" s="54"/>
      <c r="S36" s="54"/>
      <c r="T36" s="54"/>
      <c r="U36" s="54"/>
      <c r="V36" s="54"/>
      <c r="W36" s="54"/>
      <c r="X36" s="54"/>
      <c r="Y36" s="54"/>
      <c r="Z36" s="54"/>
    </row>
    <row r="37" ht="30.6" spans="12:26">
      <c r="L37" s="54">
        <f t="shared" ref="L37:Z37" si="2">L32-L33</f>
        <v>0</v>
      </c>
      <c r="M37" s="54">
        <f t="shared" si="2"/>
        <v>0</v>
      </c>
      <c r="N37" s="54">
        <f t="shared" si="2"/>
        <v>0</v>
      </c>
      <c r="O37" s="54">
        <f t="shared" si="2"/>
        <v>0</v>
      </c>
      <c r="P37" s="54">
        <f t="shared" si="2"/>
        <v>0</v>
      </c>
      <c r="Q37" s="54">
        <f t="shared" si="2"/>
        <v>1.86264514923096e-9</v>
      </c>
      <c r="R37" s="54">
        <f t="shared" si="2"/>
        <v>0</v>
      </c>
      <c r="S37" s="54">
        <f t="shared" si="2"/>
        <v>0</v>
      </c>
      <c r="T37" s="54">
        <f t="shared" si="2"/>
        <v>0</v>
      </c>
      <c r="U37" s="54">
        <f t="shared" si="2"/>
        <v>0</v>
      </c>
      <c r="V37" s="54">
        <f t="shared" si="2"/>
        <v>0</v>
      </c>
      <c r="W37" s="54">
        <f t="shared" si="2"/>
        <v>0</v>
      </c>
      <c r="X37" s="54">
        <f t="shared" si="2"/>
        <v>-6000</v>
      </c>
      <c r="Y37" s="54">
        <f t="shared" si="2"/>
        <v>6000</v>
      </c>
      <c r="Z37" s="54">
        <f t="shared" si="2"/>
        <v>0</v>
      </c>
    </row>
  </sheetData>
  <mergeCells count="1">
    <mergeCell ref="AB3:AD3"/>
  </mergeCells>
  <pageMargins left="0.354166666666667" right="0.275" top="0.629861111111111" bottom="0.511805555555556" header="0.5" footer="0.5"/>
  <pageSetup paperSize="8" scale="42" fitToHeight="0" orientation="landscape" horizontalDpi="600"/>
  <headerFooter>
    <oddFooter>&amp;C第 &amp;P 页，共 &amp;N 页</oddFooter>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新投项目</vt:lpstr>
      <vt:lpstr>Sheet1</vt:lpstr>
      <vt:lpstr>续投项目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德不孤1414054524</cp:lastModifiedBy>
  <dcterms:created xsi:type="dcterms:W3CDTF">2023-12-26T09:12:00Z</dcterms:created>
  <dcterms:modified xsi:type="dcterms:W3CDTF">2026-07-03T02:10:26Z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40CD1201D6C845D09F1B5BF8E4CA3C6A_13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