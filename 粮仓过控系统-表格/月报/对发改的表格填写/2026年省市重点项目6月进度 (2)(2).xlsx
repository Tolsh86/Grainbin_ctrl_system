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省市" sheetId="3" r:id="rId1"/>
  </sheets>
  <externalReferences>
    <externalReference r:id="rId2"/>
  </externalReferences>
  <definedNames>
    <definedName name="_xlnm._FilterDatabase" localSheetId="0" hidden="1">省市!$A$4:$XER$52</definedName>
    <definedName name="ZDFLNew">#REF!</definedName>
    <definedName name="区市县">'[1]代码(请勿修改)'!$A$1:$A$21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<sst xmlns="http://schemas.openxmlformats.org/spreadsheetml/2006/main" count="366" uniqueCount="252">
  <si>
    <t>附件1</t>
  </si>
  <si>
    <t>2026年德阳市省市重点项目1—6月进度（续建+新开工）</t>
  </si>
  <si>
    <t>序号</t>
  </si>
  <si>
    <t>项目名称</t>
  </si>
  <si>
    <t>建设
起止年</t>
  </si>
  <si>
    <t>建设内容及规模</t>
  </si>
  <si>
    <t>计划
总投资
（万元）</t>
  </si>
  <si>
    <t>截至2025年底累计完成投资
（万元）</t>
  </si>
  <si>
    <t>2026年
预计投资
（万元）</t>
  </si>
  <si>
    <t>1—5月完成投资</t>
  </si>
  <si>
    <t>6月完成投资</t>
  </si>
  <si>
    <t>1—6月完成投资</t>
  </si>
  <si>
    <t>完成率</t>
  </si>
  <si>
    <t>4月进度</t>
  </si>
  <si>
    <t>6月进度</t>
  </si>
  <si>
    <t>2026年
工程形象进度</t>
  </si>
  <si>
    <t>业主单位</t>
  </si>
  <si>
    <t>责任单位</t>
  </si>
  <si>
    <t>备注</t>
  </si>
  <si>
    <t>合计：37+6</t>
  </si>
  <si>
    <t>续建</t>
  </si>
  <si>
    <t>罗江区美丽乡村路建设项目</t>
  </si>
  <si>
    <t>2025-2027年</t>
  </si>
  <si>
    <t>建设里程22.511公里，新建路基宽度6.5米，按四级公路技术标准进行升级改造，沥青混凝土路面</t>
  </si>
  <si>
    <t>安罗路、G108-罗吴路、太三村、响石村道路改建工程、罗新路已完工，金隐路美丽乡村路正在开展施工图审批。</t>
  </si>
  <si>
    <t>开展路基工程施工</t>
  </si>
  <si>
    <t>罗江区公路管理所</t>
  </si>
  <si>
    <t>罗江区人民政府</t>
  </si>
  <si>
    <t>省重点项目德阳市国省干道及农村道路提升工程子项</t>
  </si>
  <si>
    <t>22页</t>
  </si>
  <si>
    <t>G108罗江区金山镇（绵阳界）至白马关镇段改建工程</t>
  </si>
  <si>
    <t>2024-2027年</t>
  </si>
  <si>
    <t>一级公路全长约23.1公里，新建段约5.6公里，改建段约13.4公里，完全利用段约4.1公里</t>
  </si>
  <si>
    <t>目前天马山立交至金山场镇段已全线开工，正在进行路基、桥涵施工。</t>
  </si>
  <si>
    <t>开展路基、桥涵施工，预计完成总工程量的90%</t>
  </si>
  <si>
    <t>四川西南发展控股集团有限公司</t>
  </si>
  <si>
    <t>S108罗江区略坪至调元段改建工程</t>
  </si>
  <si>
    <t>新改建S108略坪至调元段14.29公里道路，其中新建3.71公里，改建6.34公里，路面整治4.24公里，采用三级公路技术标准进行建设</t>
  </si>
  <si>
    <t>开展路基土石方和桥涵施工，路基土石方完成5%。</t>
  </si>
  <si>
    <t>开展路面工程施工</t>
  </si>
  <si>
    <t>三渔水库工程</t>
  </si>
  <si>
    <t>新建小一型水库，总库容913万立方米</t>
  </si>
  <si>
    <t>正在实施大坝右岸非溢流坝段7-10#坝段混泥土浇筑，开挖约6万立方米.</t>
  </si>
  <si>
    <t>完成大坝右岸8#～17#非溢流坝段施工，实施左岸非溢流坝、泄洪冲砂坝段、溢流坝段消力池等</t>
  </si>
  <si>
    <t>罗江区水利灌排工程管理中心</t>
  </si>
  <si>
    <t>罗江区金山镇全域土地综合整治试点项目</t>
  </si>
  <si>
    <t>2025—2029年</t>
  </si>
  <si>
    <t>整理金山镇约6.4万亩农用地，建设安置房71.6万平方米，配套建设生态修复及历史文化保护、农村人居环境整治等基础设施</t>
  </si>
  <si>
    <t>增减挂钩项目：罗家湾村、安家村、大井村建新区均已完成竣工验收。</t>
  </si>
  <si>
    <t>增减挂钩项目：罗家湾村、安家村、大井村建新区均已完成竣工验收，已完成分房。</t>
  </si>
  <si>
    <t>二批次3个聚集点主体工程施工，二批次土地整理完工</t>
  </si>
  <si>
    <t>德阳罗江金诚土地整治有限责任公司</t>
  </si>
  <si>
    <t>省重点项目</t>
  </si>
  <si>
    <t>33页</t>
  </si>
  <si>
    <t>罗江区南街历史文化街区城市有机更新项目</t>
  </si>
  <si>
    <t>建设范围约264亩，主要建设奎星阁棚户区改造安置房、西门口保障性安居工程、南街历史文化街区及片区内配套基础设施项目</t>
  </si>
  <si>
    <t>主体结构：1#楼完成至十七层顶板。砌体工程：1#楼：1-12层砌体完成；2#楼：1-19层砌体完成；3#楼：砌体完成；4#楼：1-20层砌体完成；5#楼：1-10层砌体完成；地下室：砌体完成。抹灰工程：2#楼：2-4层抹灰完成；3#楼：2-3层抹灰完成；4#楼：2-3层抹灰完成；5#楼：2层抹灰完成50%；地下室：抹灰完成20%。安装工程：完成20%。</t>
  </si>
  <si>
    <t>奎星阁保障性安居工程部分主体工程完工，南街历史文化街区及片区内配套基础设施施工</t>
  </si>
  <si>
    <t>四川西南文旅发展有限责任公司</t>
  </si>
  <si>
    <t>省重点项目德阳市城市改造提升项目子项</t>
  </si>
  <si>
    <t>罗江区城市燃气管道等老化更新改造项目</t>
  </si>
  <si>
    <t>2022-2026年</t>
  </si>
  <si>
    <t>改造老旧小区、公租房小区、安置房小区燃气管道7.23千米，立管3.8千米，橡胶软管1.5千米</t>
  </si>
  <si>
    <t>小区墙地面修复，消防及相关设施更新。</t>
  </si>
  <si>
    <t>完工</t>
  </si>
  <si>
    <t>罗江区住建局</t>
  </si>
  <si>
    <t>罗江区第三自来水厂及配套设施建设项目</t>
  </si>
  <si>
    <t>2023-2026年</t>
  </si>
  <si>
    <t>改建城区老旧供水主管网12.5千米，新建供水能力5万立方米/日净水厂1座、大口径取水管道2公里及配套用房等</t>
  </si>
  <si>
    <t>取水管道施工。</t>
  </si>
  <si>
    <t>完成项目（一期），改造城区万安路、麓峰路等老旧供水主管网约 12.5km。</t>
  </si>
  <si>
    <t>罗江区潺亭水务有限公司</t>
  </si>
  <si>
    <t>罗江区农旅融合美丽乡村旅游道路工程</t>
  </si>
  <si>
    <t>新改建农旅融合旅游环线公路50公里</t>
  </si>
  <si>
    <t>荣富路、安罗路、太三村、响石村道路改建工程、罗中路中修工程、罗新路美丽乡村路已完工，金隐路正在开展施工图审批。</t>
  </si>
  <si>
    <t>德阳市罗江区城市有机更新基础设施提升项目</t>
  </si>
  <si>
    <t>2025-2028年</t>
  </si>
  <si>
    <t>新建人行天桥2座；改造英烈公园16000平方米的绿化进行改造，拓宽道路；沿德罗干道入城段两侧新建两条宽16.75米，长度约511.50米市政道路；对罗江区城区主干道路灯进行智慧化改造</t>
  </si>
  <si>
    <t>老旧厂区部分地面更新改造</t>
  </si>
  <si>
    <t>完成对罗江区雨村东路(川纤厂边坡处)道路进行改建改造，改建道路长度为220m，改造道路长度为204.206m</t>
  </si>
  <si>
    <t>德阳市罗江区村镇建设服务中心</t>
  </si>
  <si>
    <t>德阳市罗江区供水管道漏损治理建设项目</t>
  </si>
  <si>
    <t>2025-2026年</t>
  </si>
  <si>
    <t>建设智慧水务数字化管控平台，改造供水管网20.9千米，对城区现状8座加压泵站进行提升改造等</t>
  </si>
  <si>
    <t>北街管道施工。</t>
  </si>
  <si>
    <t>改造供水管网约10公里，改造智慧水务数字化管控平台，改造分区计量装置30套。</t>
  </si>
  <si>
    <t>罗江区供水服务中心</t>
  </si>
  <si>
    <t>德阳市罗江区城市排水防涝建设项目</t>
  </si>
  <si>
    <t>改造芒岗堰主渠4.08千米，改造西山排洪渠和汽车站前排洪渠，对城市内河水系开展治理，实施城区城东片区、大学城片区、老城区雨水管网改造约124千米，开展各乡镇污水溢流点位治理</t>
  </si>
  <si>
    <t>芒岗堰京壹农粮段盖板支模架搭设完成110m，混凝土浇筑完成90m，沟渠人工机械清淤50米。</t>
  </si>
  <si>
    <t>罗江区村镇建设服务中心</t>
  </si>
  <si>
    <t>罗江区老旧小区改造项目</t>
  </si>
  <si>
    <t>改造39万平方米老旧小区，涉及户数6000户，新建配套建设道路、管网、停车场等</t>
  </si>
  <si>
    <t>楼梯间墙地面整修，灯具及消防设施更新维修，破损管网更换安装。</t>
  </si>
  <si>
    <t>西部（德阳）光电材料产业园玻璃及研究院项目</t>
  </si>
  <si>
    <t>2023-2029年</t>
  </si>
  <si>
    <t>总建筑面积约9.4万平方米，包括建设生产车间、库房及配套设施等，建成后实现年产1250万片高端光电显示材料的生产能力，配套道路15.1公里、110千伏变电站1座</t>
  </si>
  <si>
    <t>设备安装。</t>
  </si>
  <si>
    <t>建成2条玻璃生产线</t>
  </si>
  <si>
    <t>四川蜀旺辰昇新材料有限责任公司</t>
  </si>
  <si>
    <t>59页</t>
  </si>
  <si>
    <t>罗江环保新材料及PCB项目</t>
  </si>
  <si>
    <t>总建筑面积13万平方米，包括建设生产线厂房、实验室、16条电离辐射屏蔽材料生产线、4条中子屏蔽吸收材料生产线、8条高分子复合材料生产线，购入晶圆研磨机、固晶机、半导体测试机等生产设备仪器</t>
  </si>
  <si>
    <t>建成6条光电LED芯片封装测试生产线，生产车间、研发中心、仓储车间完工</t>
  </si>
  <si>
    <t>久远发展集团（海南）有限公司
四川创威世纪新材料有限公司
四川丰江电子科技有限责任公司</t>
  </si>
  <si>
    <t>61页</t>
  </si>
  <si>
    <t>子项1</t>
  </si>
  <si>
    <t>智能环保型核辐射防护材料、高分子复合材料产业园项目</t>
  </si>
  <si>
    <t>建设生产线厂房、实验室等，新建16条电离辐射屏蔽材料生产线，4条中子屏蔽吸收材料生产线，8条高分子复合(ST)材料生产线</t>
  </si>
  <si>
    <t>办公楼装饰装修，车间主体施工</t>
  </si>
  <si>
    <t>建成生产线厂房、实验室等，购置安装部分所需高端设备</t>
  </si>
  <si>
    <t>久远发展集团（海南）有限公司</t>
  </si>
  <si>
    <t>子项2</t>
  </si>
  <si>
    <t>智能环保免冲洗版材新材料项目</t>
  </si>
  <si>
    <t>新建3.5万平方米生产车间及附属设施</t>
  </si>
  <si>
    <t>建成2.76万平方米厂房及相关配套用房，购置安装免冲洗CTP板材生产线1条</t>
  </si>
  <si>
    <t>四川创威世纪新材料有限公司</t>
  </si>
  <si>
    <t>子项3</t>
  </si>
  <si>
    <t>四川丰江高端PCB板电力零部件项目</t>
  </si>
  <si>
    <t>新建厂房等9.5万平方米，计容9.4万平方米（项目整体容积率1.57），建设线路板生产线6条，生产PCB印刷线路板材、贴片等产品</t>
  </si>
  <si>
    <t>车间基础施工，办公楼主体施工</t>
  </si>
  <si>
    <t>建成 1#办公楼、2#车间、4#倒班楼、5#门卫室、6#门卫室等建筑约40128.52平方米，建成后年产线路板约130万平方米。</t>
  </si>
  <si>
    <t>四川丰江电子科技有限责任公司</t>
  </si>
  <si>
    <t>盛晨新材料装饰面料生产项目</t>
  </si>
  <si>
    <t>2023-2027年</t>
  </si>
  <si>
    <t>新建厂房、办公楼、门卫室约2.5万平方米。建设PU装饰材料生产线，年生产汽车内饰材料、家庭装饰材料等产品约2000万米</t>
  </si>
  <si>
    <t>一期建成投产</t>
  </si>
  <si>
    <t>德阳盛晨新材料科技有限公司</t>
  </si>
  <si>
    <t>风力发电机零部件生产加工项目</t>
  </si>
  <si>
    <t>一期新建年加工10000吨各种风力发电机零配件的生产线、生产车间、办公用房及其它附属设施；二期建设火力发电机零配件生产线与研发室等</t>
  </si>
  <si>
    <t>上海梁立电器有限公司</t>
  </si>
  <si>
    <t>现代食用植物油生产加工项目</t>
  </si>
  <si>
    <t>新建原料仓库、小榨车间、包装车间、成品仓库、化验室</t>
  </si>
  <si>
    <t>海南蜀旺发食品有限公司</t>
  </si>
  <si>
    <t>年产25亿支航空航天、医药食品等领域用新材料项目</t>
  </si>
  <si>
    <t>新建年产25亿支航空航天、医药食品等领域用新材料及相关附属设施</t>
  </si>
  <si>
    <t>车间改造升级，设备安装</t>
  </si>
  <si>
    <t>德阳友宏包装制品有限公司</t>
  </si>
  <si>
    <t>医养结合、康养中心建设项目</t>
  </si>
  <si>
    <t>新建门诊大楼、住院大楼、日间照料中心、康养农场等</t>
  </si>
  <si>
    <t>综合楼主体修建</t>
  </si>
  <si>
    <t>主体施工。</t>
  </si>
  <si>
    <t>成都吉达医养综合服务有限公司</t>
  </si>
  <si>
    <t>罗江·成华智能制造产业合作园区</t>
  </si>
  <si>
    <t>新建标准厂房约10万平方米，配套建设科创研发楼、办公楼、宿舍楼等；改扩建园区道路3公里，完善动力站、电力、通讯等配套设施建设</t>
  </si>
  <si>
    <t>1#车间基础施工，2#主体施工</t>
  </si>
  <si>
    <t>成都市龙潭工业机器人产业功能区管理委员会
四川罗江经济开发区管理委员会</t>
  </si>
  <si>
    <t>汉江片材生产车间项目</t>
  </si>
  <si>
    <t>新建片材生产车间13670.83平方米</t>
  </si>
  <si>
    <t>四川汉江新材料有限公司</t>
  </si>
  <si>
    <t>空气动力试验装备自动化制造项目</t>
  </si>
  <si>
    <t>建筑面积8000平方米，建设智能化焊接生产线、CNC数控加工中心，购买智能激光切割设备，生产某风洞实验模型、电子天平实验装置等</t>
  </si>
  <si>
    <t>车间改造，车间主体施工</t>
  </si>
  <si>
    <t>四川迪弗电工科技有限公司</t>
  </si>
  <si>
    <t>专业电子产品包装生产线项目</t>
  </si>
  <si>
    <t>厂房面积5000平方米。一期建设外包装纸箱生产线，二期拟购地新建厂房、员工宿舍、食堂等，建设全自动生产线等</t>
  </si>
  <si>
    <t>车间改造，设备安装</t>
  </si>
  <si>
    <t>四川汉印包装制品有限责任公司</t>
  </si>
  <si>
    <t>川西现代粮食物流中心项目</t>
  </si>
  <si>
    <t>新建7.25万吨原粮仓库，其中浅圆仓5.25万吨、低温平房仓2万吨，配套建设卸粮棚、工作塔、仓间罩棚;新建4600吨食用油罐，配套建设油泵房、发油棚;新建质检楼，配套建设附属总平工程。</t>
  </si>
  <si>
    <t>1.桩基施工467根；
2.质检楼基坑开挖及支护完成，工作塔第二层土方开挖及支护完成；
3.场地规划临时道路级配铺设完成约60%， 2、3#塔吊基础施工完成。</t>
  </si>
  <si>
    <t>1.5#、6#土方开挖完成100%；垫层完成80%；
2.6#平房仓基础垫层浇筑完成90%，基础开始绑扎钢筋，5#平房仓基础开挖完成，工作塔地下室基础开挖完成，砖胎膜施工完成。
3.6#平房仓基础钢筋完成80%，模板开始安装；
4.5#平房仓基础回填区域土方开挖完成，等待换填方案。
5.质检楼基坑开挖及支护完成100%；
2.基础砖胎模完成70%。
6.质检楼区域基础砖胎模及抹灰完成100%；
7.质检楼区域基础垫层100%；
8.质检楼区域桩顶灌芯完成100%；
9.油罐区基础开挖100%，基础垫层100%</t>
  </si>
  <si>
    <t>1.箱变及环网柜安装完成，电缆安装完成，主线并网完成;
2.电力配管安装管162米
3.1#质检综合楼、2#工作塔、卸粮棚、辅助用房、101#-204#浅圆仓、油罐区【桩基工程】桩基全部施工完成，土方开挖及支护已完成；
4.桩间支护完成，工程桩桩底填芯完成
5.浅圆仓工程桩开始做静载检测
6.1#、3#钢筋加工设备安装完成，制作房临电安装完成；
7.雨水管网沟槽开挖总开挖长度约924.38m；
8.雨水管网波纹管安装及回填完成约887.38m
9.检查井:46座，闸阀井4座，雨篦子72个
10.冷凝水管开挖312.5m，铺设安装回填312.5m;
11.消防管道总会长度开挖约874m;安装铺设874m，预埋套管444m，闸阀井19座;
12.道路路基完成940m，级配940m，水稳940m；
13.箱变及电缆施工完成，箱变完成通电100%；
14.场内规划临时环网道路区域雨箅子和支管安装完成；
15.场内规划临时环网道路区域消防管施工完成；
16.场内规划临时环网道路级配铺设完成，道路水稳层施工完成，混凝土浇筑完成100%。
17.工作塔第二层土方开挖及支护完成100%；
18.桩顶钢筋笼完成100%，桩顶灌芯完成100%，底板防水完成100%，基础侧墙防水完成100%
19.底板防水4mm厚780m2，3mm厚245m2,防水涂料:550m2;
20.底板钢筋绑扎；
21.5#、6#土方开挖完成100%；垫层完成80%；
22.6#平房仓基础垫层浇筑完成90%，基础开始绑扎钢筋，5#平房仓基础开挖完成，工作塔地下室基础开挖完成，砖胎膜施工完成。
23.6#平房仓基础钢筋完成80%，模板开始安装；
24.5#平房仓基础回填区域土方开挖完成，等待换填方案。
25.质检楼基坑开挖及支护完成100%；
26.质检楼基础砖胎模完成70%。
27.质检楼基础砖胎模及抹灰完成100%；
28.质检楼基础垫层100%；
29.质检楼桩顶灌芯完成100%；
30.油罐区基础开挖100%，基础垫层100%
31.实体围墙抹灰已完成，所有挡墙及围墙砖砌体施工完成
32.塔吊基础全部完成
33.1#塔吊基础混凝土浇筑完成</t>
  </si>
  <si>
    <t>四川德阳省食油储备库有限公司</t>
  </si>
  <si>
    <t>德阳市罗江区种业现代农业园区建设项目</t>
  </si>
  <si>
    <t>建设种业标准化现代农业园区5万亩；建设种业加工中心，修建加工厂房，配套生产、加工设施设备，检测中心；建设粮油制种示范农业公园，水田恢复4.8万亩，预计高标准农田4.5万亩。</t>
  </si>
  <si>
    <t>已完成田块整治约2343.42亩，土埂筑砌约40913m,道路约21690m,渠道完成约37225米。</t>
  </si>
  <si>
    <t>水田恢复完成30%，高标农田完成30%。</t>
  </si>
  <si>
    <t>四川芯谷农业发展有限公司</t>
  </si>
  <si>
    <t>15000吨/年铸锻件深加工项目</t>
  </si>
  <si>
    <t>2024-2026年</t>
  </si>
  <si>
    <t>利用原标准化厂房5472平方米、新建标准化厂房5400平方米、办公楼1500平方米，年产15000吨铸锻件（调整建设内容）</t>
  </si>
  <si>
    <t>改造车间试生产，新建车间正在办理施工许可证。</t>
  </si>
  <si>
    <t>完工。</t>
  </si>
  <si>
    <t>四川振强锻造有限责任公司</t>
  </si>
  <si>
    <t>聚丙烯制品智能化生产线建设项目</t>
  </si>
  <si>
    <t>修建20000平方米厂房，并新购智能化设施设备，拉丝机、圆织机等 400 余台，计划引入软件系统，形成年产年产 5 万吨 PP 制品智能化生产产能</t>
  </si>
  <si>
    <t>车间内部基础施工、设备安装</t>
  </si>
  <si>
    <t>厂房主体完工。</t>
  </si>
  <si>
    <t>四川鑫东达科技有限公司</t>
  </si>
  <si>
    <t>超微粉碎设备项目</t>
  </si>
  <si>
    <t>厂房面积8000平方米，新建气流粉碎机、机械冲击磨、分级机、气流输送、砂磨机等非标设备及附属设施</t>
  </si>
  <si>
    <t>广东迪程电气有限公司</t>
  </si>
  <si>
    <t>龑江水韵天和（A区）项目</t>
  </si>
  <si>
    <t>建筑面积37万平方米，新建住宅并配套道路与室外绿化设施等</t>
  </si>
  <si>
    <t>6#楼15层钢筋混凝土浇筑并养护、12#楼层12层梁柱施工 。14#楼三层楼板钢筋绑扎。</t>
  </si>
  <si>
    <t>完成a区1-14#住宅楼建设</t>
  </si>
  <si>
    <t>四川盈佳置业有限公司</t>
  </si>
  <si>
    <t>龑江水韵天和（B区）项目</t>
  </si>
  <si>
    <t>建筑面积27万平方米，新建住宅并配套道路与室外绿化设施等</t>
  </si>
  <si>
    <t>2、4#楼17层施工；8、9#主体验收通过，5#楼10层钢筋绑扎，10#楼5层混凝土浇筑完成，正在养护。</t>
  </si>
  <si>
    <t>完成b区总工程量的90%</t>
  </si>
  <si>
    <t>罗江西财房地产开发有限公司</t>
  </si>
  <si>
    <t>德阳平急两用农业科技示范园项目</t>
  </si>
  <si>
    <t>总建筑面积37.35万平方米，建设厂房、代糖技术研究中心及附属设施，建设变性淀粉、果糖、麦芽糖等10条生产线，10座筒仓及仓库</t>
  </si>
  <si>
    <t>1#车间主体施工，2#车间基础施工，办公楼基础施工</t>
  </si>
  <si>
    <t>建成包括物流仓储库、玉米仓储建筑、生产车间、原辅料库、配套用房等共计约20.28万平方米，建成70万吨淀粉生产线，30万吨果糖生产线，20万吨麦芽糖生产线，2万吨玉米油及蛋白粉生产线</t>
  </si>
  <si>
    <t>山东民生集团有限公司</t>
  </si>
  <si>
    <t>省重点项目德阳“天府粮仓”国家现代农业园项目子项</t>
  </si>
  <si>
    <t>101页</t>
  </si>
  <si>
    <t>罗江区大学城项目</t>
  </si>
  <si>
    <t>2021-2026年</t>
  </si>
  <si>
    <t>总建筑面积约68万平方米，包括四川工业科技学院工程、德阳农业科技职业学院三期工程</t>
  </si>
  <si>
    <t>农科院研学与实训服务中心正在进行主体施工；西财天府学院学生公寓正在进行主体施工。</t>
  </si>
  <si>
    <t>能源基础设施建设。</t>
  </si>
  <si>
    <t>四川工业科技学院
四川山水美地农业投资有限公司</t>
  </si>
  <si>
    <t>罗江区城乡建设用地增减挂钩项目</t>
  </si>
  <si>
    <t>鄢家、新盛、白马关、略坪、万安5个镇实施城乡建设用地增减挂钩项目7个，周转土地指标2032.6亩</t>
  </si>
  <si>
    <t>略坪镇、鄢家镇、新盛镇集中安置建新区施工现已完成。
万安镇石龙社区增减挂钩项目正在进行前期规划设计。</t>
  </si>
  <si>
    <t>完成万安镇斑竹社区增减挂钩项目</t>
  </si>
  <si>
    <t>罗江区自然资源和规划局</t>
  </si>
  <si>
    <t>罗江区周家坝生态湿地保护及资源循环利用项目</t>
  </si>
  <si>
    <t>新建2号闸16米，治理河道1.9公里，新建堤防5645米；提标改造污水处理厂1座，规模2万立方每天；建设绿植废弃物资源化利用中心，处理规模5吨每天；新建零碳中心示范展示工程2072平方米；新建污水厂尾水提升输水管2.5公里</t>
  </si>
  <si>
    <t>1.污水提标改造项目、零碳中心:完工；
2.第三包正在开展财政评审，招标文件初稿已完善，第三包初设报市水利局评审。</t>
  </si>
  <si>
    <t>主体部分完工。</t>
  </si>
  <si>
    <t>罗江区凯江流域城区段水环境综合治理、入河排污口规范化建设工程</t>
  </si>
  <si>
    <t>新改建污水管网约20.92公里；芙蓉溪至周家坝南段污染底泥清理；新建周家坝南段生态护岸工程，改造芙蓉溪至周家坝南段生态护岸；芙蓉溪至秀水湾生态隔离带约3平方公里。安装水质自动监测装置等</t>
  </si>
  <si>
    <t>入河排污口项目：11个点位已完成检测设备、监控设备基础开挖及钢筋绑扎工作，即工程量的40%；2个点位完成模板施工、防雷焊接、预埋件焊接工作；4个点位完成排污通道清淤及修建工作。凯江流域工程：管网工程、生态护岸等全部实施完成。</t>
  </si>
  <si>
    <t>罗江生态环境局</t>
  </si>
  <si>
    <t>新开工</t>
  </si>
  <si>
    <t>四川省金路树脂有限公司老旧设备更新改造提档升级项目</t>
  </si>
  <si>
    <t>2026-2027年</t>
  </si>
  <si>
    <t>项目计划对公司关键生产装置聚合装置808聚合釜:70聚合瓮:合成法置泡沫组合塔,干煤花要建上机、五离子膜电解槽(含膜);氯氢处理透平式氯气压缩机;盐酸氯化氢合成炉机和引风机;整流变压器、整流柜;以及部分压力容器等约100余台/套设备进行更新改造和提档升级</t>
  </si>
  <si>
    <t>备案</t>
  </si>
  <si>
    <t>8#电解槽换离子膜、氯水洗涤塔、隔膜压滤机、氯化钙储槽、尾气吸收循环塔、5-6#干燥DCS系统升级等设备的更新。</t>
  </si>
  <si>
    <t>四川省金路树脂有限公司</t>
  </si>
  <si>
    <t>6月</t>
  </si>
  <si>
    <t>新能源储能系统制造项目</t>
  </si>
  <si>
    <t>项目一期计划投资10000万元原建厂房改造及新建厂房和生产线、新建集装箱安装堆场(具体建设方案以报建方案为准)，主要生产户用储能产品、工商业储能电池柜、集装箱储能系统、微电网光储系统等产品。拟新建一个9000平厂房和一个15000平厂房及仓储库房</t>
  </si>
  <si>
    <t>车间基础施工，办公楼装饰装修</t>
  </si>
  <si>
    <t>车间主体施工，办公楼装饰装修</t>
  </si>
  <si>
    <t>赛孚迅储能技术（德阳）有限公司</t>
  </si>
  <si>
    <t>9月</t>
  </si>
  <si>
    <t>低空经济产业科创园建设项目</t>
  </si>
  <si>
    <t>2026-2029年</t>
  </si>
  <si>
    <t>项目占地面积约288亩，总建筑面积27万平方米，主要建设内容包括：建设科创中心、研学中心、低空飞行营地、大师工坊等，具备飞行起降条件的场地和无人机生产性实训中心综合服务体系，涵盖科创园运营、技术支持、人才服务等配套服务设施项目将构建集人才培养、研发创新、生产制造、应用展示与体验于一体的产教融合型科创园区</t>
  </si>
  <si>
    <t>进场施工，土石方开挖。</t>
  </si>
  <si>
    <t>四川工业科技学院</t>
  </si>
  <si>
    <t>12月</t>
  </si>
  <si>
    <t>劲达节能标准厂房项目</t>
  </si>
  <si>
    <t>新建2＃标准厂房约2500平方米</t>
  </si>
  <si>
    <t>项目车间基础施工</t>
  </si>
  <si>
    <t>德阳劲达节能科技有限责任公司</t>
  </si>
  <si>
    <t>3月</t>
  </si>
  <si>
    <t>冷冻半成品及慕斯蛋糕项目</t>
  </si>
  <si>
    <t>2026-2028年</t>
  </si>
  <si>
    <t>建设冷冻半成品及慕斯蛋糕项目，产品配送辐射陕甘宁云贵川渝等地</t>
  </si>
  <si>
    <t>协议</t>
  </si>
  <si>
    <t>广东元宝食品有限公司</t>
  </si>
  <si>
    <t>成都英能基（罗江）10GWH钠离子电池及储能系统生产基地项目</t>
  </si>
  <si>
    <t>项目分两期规划建设，一期一阶段规划建设1GWH钠离子电池及储能系统生产基地;一期二阶段规划建设3GWH钠离子电池及储能系统生产基地；二期规划建设6GWH钠离子电池及储能系统生产线</t>
  </si>
  <si>
    <t>英能基（德阳）新能源科技有限公司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</si>
</sst>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40">
    <font>
      <sz val="11"/>
      <color theme="1"/>
      <name val="宋体"/>
      <charset val="134"/>
      <scheme val="minor"/>
    </font>
    <font>
      <sz val="14"/>
      <name val="宋体"/>
      <charset val="0"/>
      <scheme val="major"/>
    </font>
    <font>
      <b/>
      <sz val="12"/>
      <name val="宋体"/>
      <charset val="0"/>
      <scheme val="minor"/>
    </font>
    <font>
      <b/>
      <sz val="14"/>
      <name val="宋体"/>
      <charset val="0"/>
      <scheme val="major"/>
    </font>
    <font>
      <sz val="10"/>
      <name val="宋体"/>
      <charset val="134"/>
      <scheme val="major"/>
    </font>
    <font>
      <sz val="12"/>
      <name val="宋体"/>
      <charset val="134"/>
      <scheme val="major"/>
    </font>
    <font>
      <b/>
      <sz val="12"/>
      <color theme="1"/>
      <name val="宋体"/>
      <charset val="134"/>
      <scheme val="minor"/>
    </font>
    <font>
      <sz val="10"/>
      <name val="Times New Roman"/>
      <charset val="0"/>
    </font>
    <font>
      <sz val="12"/>
      <name val="Times New Roman"/>
      <charset val="134"/>
    </font>
    <font>
      <sz val="12"/>
      <name val="宋体"/>
      <charset val="0"/>
      <scheme val="major"/>
    </font>
    <font>
      <sz val="18"/>
      <name val="宋体"/>
      <charset val="0"/>
      <scheme val="major"/>
    </font>
    <font>
      <b/>
      <sz val="24"/>
      <name val="宋体"/>
      <charset val="0"/>
      <scheme val="major"/>
    </font>
    <font>
      <b/>
      <sz val="12"/>
      <name val="宋体"/>
      <charset val="134"/>
      <scheme val="minor"/>
    </font>
    <font>
      <sz val="12"/>
      <name val="宋体"/>
      <charset val="0"/>
      <scheme val="minor"/>
    </font>
    <font>
      <b/>
      <sz val="12"/>
      <name val="宋体"/>
      <charset val="0"/>
      <scheme val="major"/>
    </font>
    <font>
      <sz val="12"/>
      <name val="宋体"/>
      <charset val="134"/>
      <scheme val="minor"/>
    </font>
    <font>
      <sz val="12"/>
      <color rgb="FFFF0000"/>
      <name val="宋体"/>
      <charset val="0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8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9" fillId="0" borderId="0"/>
  </cellStyleXfs>
  <cellXfs count="58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76" fontId="1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176" fontId="13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176" fontId="15" fillId="2" borderId="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176" fontId="15" fillId="4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5" fillId="4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176" fontId="15" fillId="3" borderId="2" xfId="0" applyNumberFormat="1" applyFont="1" applyFill="1" applyBorder="1" applyAlignment="1">
      <alignment horizontal="center" vertical="center" wrapText="1"/>
    </xf>
    <xf numFmtId="176" fontId="13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49" fontId="15" fillId="2" borderId="2" xfId="0" applyNumberFormat="1" applyFont="1" applyFill="1" applyBorder="1" applyAlignment="1" applyProtection="1">
      <alignment horizontal="center" vertical="center" wrapText="1"/>
    </xf>
    <xf numFmtId="177" fontId="15" fillId="2" borderId="2" xfId="0" applyNumberFormat="1" applyFont="1" applyFill="1" applyBorder="1" applyAlignment="1">
      <alignment horizontal="center" vertical="center" wrapText="1"/>
    </xf>
    <xf numFmtId="176" fontId="18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177" fontId="18" fillId="2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四川省2011年重点项目建议计划表-新开工" xfId="49"/>
  </cellStyles>
  <dxfs count="18">
    <dxf>
      <fill>
        <patternFill patternType="solid">
          <fgColor rgb="FF92D050"/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ome\user\Desktop\\data\home\user\2026&#24180;\&#12304;1&#12305;&#24066;&#21457;&#25913;\2026&#24180;1&#26376;26&#26085;%20%20%20%20%20&#30465;&#37325;&#28857;&#25991;&#20214;&#19979;&#21457;%20\\home\user01\Desktop\\home\user\Documents\xwechat_files\xjx1996999_9ecd\msg\file\2025-11\\home\user\Documents\xwechat_files\xjx1996999_9ecd\msg\file\2025-11\\home\user\Documents\xwechat_files\xjx1996999_9ecd\msg\file\2025-11\\home\user\Documents\xwechat_files\xjx1996999_9ecd\msg\file\2025-11\\home\user\Documents\xwechat_files\xjx1996999_9ecd\msg\file\2025-11\\home\user\Documents\xwechat_files\xjx1996999_9ecd\msg\file\2024-11\home\user\Documents\xwechat_files\xjx1996999_9ecd\msg\file\2024-11\home\user\Documents\xwechat_files\xjx1996999_9ecd\msg\file\2024-11\home\lmz\Desktop\home\user\Documents\xwechat_files\xjx1996999_9ecd\msg\file\2024-11\home\user\xjq\2024&#24037;&#20316;\&#30465;&#37325;&#28857;&#39033;&#30446;&#26377;&#20851;&#24037;&#20316;\2025&#24180;&#30465;&#37325;&#28857;&#39033;&#30446;&#30003;&#25253;\&#65288;20241107&#65289;7-2&#12289;&#20250;&#21830;&#20250;&#23457;&#21518;&#20462;&#25913;\&#39033;&#30446;&#34920;&#26684;\home\user\Documents\xwechat_files\xjx1996999_9ecd\msg\file\2024-11\D:\home\user\Documents\xwechat_files\xjx1996999_9ecd\msg\file\2024-11\home\user\Documents\xwechat_files\xjx1996999_9ecd\msg\file\2024-11\home\user\Documents\xwechat_files\wxid_v72w765kfx3141_3f49\msg\file\2024-11\home\user\Documents\xwechat_files\xjx1996999_9ecd\msg\file\2024-11\home\user\Documents\xwechat_files\xjx1996999_9ecd\msg\file\2024-10\home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重点项目表"/>
      <sheetName val="代码(请勿修改)"/>
      <sheetName val="FL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52"/>
  <sheetViews>
    <sheetView tabSelected="1" zoomScale="80" zoomScaleNormal="80" workbookViewId="0">
      <pane ySplit="4" topLeftCell="A5" activePane="bottomLeft" state="frozen"/>
      <selection/>
      <selection pane="bottomLeft" activeCell="M34" sqref="M34"/>
    </sheetView>
  </sheetViews>
  <sheetFormatPr defaultColWidth="10" defaultRowHeight="17.4"/>
  <cols>
    <col min="1" max="1" width="5.69444444444444" style="1" customWidth="1"/>
    <col min="2" max="2" width="19.2777777777778" style="1" customWidth="1"/>
    <col min="3" max="3" width="14.2222222222222" style="1" customWidth="1"/>
    <col min="4" max="4" width="46.712962962963" style="1" customWidth="1"/>
    <col min="5" max="11" width="12.0277777777778" style="10" customWidth="1"/>
    <col min="12" max="12" width="49.3703703703704" style="10" hidden="1" customWidth="1"/>
    <col min="13" max="13" width="49.3703703703704" style="10" customWidth="1"/>
    <col min="14" max="14" width="38.287037037037" style="1" customWidth="1"/>
    <col min="15" max="16" width="22.5" style="1" customWidth="1"/>
    <col min="17" max="17" width="14.1574074074074" style="1" customWidth="1"/>
    <col min="18" max="18" width="10" style="11" customWidth="1"/>
    <col min="19" max="194" width="10" style="1" customWidth="1"/>
    <col min="195" max="16307" width="10" style="1"/>
    <col min="16308" max="16372" width="10" style="5"/>
    <col min="16373" max="16384" width="10" style="12"/>
  </cols>
  <sheetData>
    <row r="1" s="1" customFormat="1" ht="21" customHeight="1" spans="1:1024 1025:2562">
      <c r="A1" s="13" t="s">
        <v>0</v>
      </c>
      <c r="B1" s="14"/>
      <c r="E1" s="10"/>
      <c r="F1" s="10"/>
      <c r="G1" s="10"/>
      <c r="H1" s="10"/>
      <c r="I1" s="10"/>
      <c r="J1" s="10"/>
      <c r="K1" s="10"/>
      <c r="L1" s="10"/>
      <c r="M1" s="10"/>
      <c r="R1" s="11"/>
    </row>
    <row r="2" s="1" customFormat="1" ht="33" customHeight="1" spans="1:1024 1025:2562">
      <c r="A2" s="15" t="s">
        <v>1</v>
      </c>
      <c r="B2" s="16"/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6"/>
      <c r="O2" s="16"/>
      <c r="P2" s="16"/>
      <c r="Q2" s="16"/>
      <c r="R2" s="11"/>
    </row>
    <row r="3" s="2" customFormat="1" ht="27" customHeight="1" spans="1:1024 1025:2562">
      <c r="A3" s="18" t="s">
        <v>2</v>
      </c>
      <c r="B3" s="19" t="s">
        <v>3</v>
      </c>
      <c r="C3" s="19" t="s">
        <v>4</v>
      </c>
      <c r="D3" s="19" t="s">
        <v>5</v>
      </c>
      <c r="E3" s="20" t="s">
        <v>6</v>
      </c>
      <c r="F3" s="20" t="s">
        <v>7</v>
      </c>
      <c r="G3" s="21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3" t="s">
        <v>15</v>
      </c>
      <c r="O3" s="19" t="s">
        <v>16</v>
      </c>
      <c r="P3" s="19" t="s">
        <v>17</v>
      </c>
      <c r="Q3" s="19" t="s">
        <v>18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  <c r="ARL3" s="24"/>
      <c r="ARM3" s="24"/>
      <c r="ARN3" s="24"/>
      <c r="ARO3" s="24"/>
      <c r="ARP3" s="24"/>
      <c r="ARQ3" s="24"/>
      <c r="ARR3" s="24"/>
      <c r="ARS3" s="24"/>
      <c r="ART3" s="24"/>
      <c r="ARU3" s="24"/>
      <c r="ARV3" s="24"/>
      <c r="ARW3" s="24"/>
      <c r="ARX3" s="24"/>
      <c r="ARY3" s="24"/>
      <c r="ARZ3" s="24"/>
      <c r="ASA3" s="24"/>
      <c r="ASB3" s="24"/>
      <c r="ASC3" s="24"/>
      <c r="ASD3" s="24"/>
      <c r="ASE3" s="24"/>
      <c r="ASF3" s="24"/>
      <c r="ASG3" s="24"/>
      <c r="ASH3" s="24"/>
      <c r="ASI3" s="24"/>
      <c r="ASJ3" s="24"/>
      <c r="ASK3" s="24"/>
      <c r="ASL3" s="24"/>
      <c r="ASM3" s="24"/>
      <c r="ASN3" s="24"/>
      <c r="ASO3" s="24"/>
      <c r="ASP3" s="24"/>
      <c r="ASQ3" s="24"/>
      <c r="ASR3" s="24"/>
      <c r="ASS3" s="24"/>
      <c r="AST3" s="24"/>
      <c r="ASU3" s="24"/>
      <c r="ASV3" s="24"/>
      <c r="ASW3" s="24"/>
      <c r="ASX3" s="24"/>
      <c r="ASY3" s="24"/>
      <c r="ASZ3" s="24"/>
      <c r="ATA3" s="24"/>
      <c r="ATB3" s="24"/>
      <c r="ATC3" s="24"/>
      <c r="ATD3" s="24"/>
      <c r="ATE3" s="24"/>
      <c r="ATF3" s="24"/>
      <c r="ATG3" s="24"/>
      <c r="ATH3" s="24"/>
      <c r="ATI3" s="24"/>
      <c r="ATJ3" s="24"/>
      <c r="ATK3" s="24"/>
      <c r="ATL3" s="24"/>
      <c r="ATM3" s="24"/>
      <c r="ATN3" s="24"/>
      <c r="ATO3" s="24"/>
      <c r="ATP3" s="24"/>
      <c r="ATQ3" s="24"/>
      <c r="ATR3" s="24"/>
      <c r="ATS3" s="24"/>
      <c r="ATT3" s="24"/>
      <c r="ATU3" s="24"/>
      <c r="ATV3" s="24"/>
      <c r="ATW3" s="24"/>
      <c r="ATX3" s="24"/>
      <c r="ATY3" s="24"/>
      <c r="ATZ3" s="24"/>
      <c r="AUA3" s="24"/>
      <c r="AUB3" s="24"/>
      <c r="AUC3" s="24"/>
      <c r="AUD3" s="24"/>
      <c r="AUE3" s="24"/>
      <c r="AUF3" s="24"/>
      <c r="AUG3" s="24"/>
      <c r="AUH3" s="24"/>
      <c r="AUI3" s="24"/>
      <c r="AUJ3" s="24"/>
      <c r="AUK3" s="24"/>
      <c r="AUL3" s="24"/>
      <c r="AUM3" s="24"/>
      <c r="AUN3" s="24"/>
      <c r="AUO3" s="24"/>
      <c r="AUP3" s="24"/>
      <c r="AUQ3" s="24"/>
      <c r="AUR3" s="24"/>
      <c r="AUS3" s="24"/>
      <c r="AUT3" s="24"/>
      <c r="AUU3" s="24"/>
      <c r="AUV3" s="24"/>
      <c r="AUW3" s="24"/>
      <c r="AUX3" s="24"/>
      <c r="AUY3" s="24"/>
      <c r="AUZ3" s="24"/>
      <c r="AVA3" s="24"/>
      <c r="AVB3" s="24"/>
      <c r="AVC3" s="24"/>
      <c r="AVD3" s="24"/>
      <c r="AVE3" s="24"/>
      <c r="AVF3" s="24"/>
      <c r="AVG3" s="24"/>
      <c r="AVH3" s="24"/>
      <c r="AVI3" s="24"/>
      <c r="AVJ3" s="24"/>
      <c r="AVK3" s="24"/>
      <c r="AVL3" s="24"/>
      <c r="AVM3" s="24"/>
      <c r="AVN3" s="24"/>
      <c r="AVO3" s="24"/>
      <c r="AVP3" s="24"/>
      <c r="AVQ3" s="24"/>
      <c r="AVR3" s="24"/>
      <c r="AVS3" s="24"/>
      <c r="AVT3" s="24"/>
      <c r="AVU3" s="24"/>
      <c r="AVV3" s="24"/>
      <c r="AVW3" s="24"/>
      <c r="AVX3" s="24"/>
      <c r="AVY3" s="24"/>
      <c r="AVZ3" s="24"/>
      <c r="AWA3" s="24"/>
      <c r="AWB3" s="24"/>
      <c r="AWC3" s="24"/>
      <c r="AWD3" s="24"/>
      <c r="AWE3" s="24"/>
      <c r="AWF3" s="24"/>
      <c r="AWG3" s="24"/>
      <c r="AWH3" s="24"/>
      <c r="AWI3" s="24"/>
      <c r="AWJ3" s="24"/>
      <c r="AWK3" s="24"/>
      <c r="AWL3" s="24"/>
      <c r="AWM3" s="24"/>
      <c r="AWN3" s="24"/>
      <c r="AWO3" s="24"/>
      <c r="AWP3" s="24"/>
      <c r="AWQ3" s="24"/>
      <c r="AWR3" s="24"/>
      <c r="AWS3" s="24"/>
      <c r="AWT3" s="24"/>
      <c r="AWU3" s="24"/>
      <c r="AWV3" s="24"/>
      <c r="AWW3" s="24"/>
      <c r="AWX3" s="24"/>
      <c r="AWY3" s="24"/>
      <c r="AWZ3" s="24"/>
      <c r="AXA3" s="24"/>
      <c r="AXB3" s="24"/>
      <c r="AXC3" s="24"/>
      <c r="AXD3" s="24"/>
      <c r="AXE3" s="24"/>
      <c r="AXF3" s="24"/>
      <c r="AXG3" s="24"/>
      <c r="AXH3" s="24"/>
      <c r="AXI3" s="24"/>
      <c r="AXJ3" s="24"/>
      <c r="AXK3" s="24"/>
      <c r="AXL3" s="24"/>
      <c r="AXM3" s="24"/>
      <c r="AXN3" s="24"/>
      <c r="AXO3" s="24"/>
      <c r="AXP3" s="24"/>
      <c r="AXQ3" s="24"/>
      <c r="AXR3" s="24"/>
      <c r="AXS3" s="24"/>
      <c r="AXT3" s="24"/>
      <c r="AXU3" s="24"/>
      <c r="AXV3" s="24"/>
      <c r="AXW3" s="24"/>
      <c r="AXX3" s="24"/>
      <c r="AXY3" s="24"/>
      <c r="AXZ3" s="24"/>
      <c r="AYA3" s="24"/>
      <c r="AYB3" s="24"/>
      <c r="AYC3" s="24"/>
      <c r="AYD3" s="24"/>
      <c r="AYE3" s="24"/>
      <c r="AYF3" s="24"/>
      <c r="AYG3" s="24"/>
      <c r="AYH3" s="24"/>
      <c r="AYI3" s="24"/>
      <c r="AYJ3" s="24"/>
      <c r="AYK3" s="24"/>
      <c r="AYL3" s="24"/>
      <c r="AYM3" s="24"/>
      <c r="AYN3" s="24"/>
      <c r="AYO3" s="24"/>
      <c r="AYP3" s="24"/>
      <c r="AYQ3" s="24"/>
      <c r="AYR3" s="24"/>
      <c r="AYS3" s="24"/>
      <c r="AYT3" s="24"/>
      <c r="AYU3" s="24"/>
      <c r="AYV3" s="24"/>
      <c r="AYW3" s="24"/>
      <c r="AYX3" s="24"/>
      <c r="AYY3" s="24"/>
      <c r="AYZ3" s="24"/>
      <c r="AZA3" s="24"/>
      <c r="AZB3" s="24"/>
      <c r="AZC3" s="24"/>
      <c r="AZD3" s="24"/>
      <c r="AZE3" s="24"/>
      <c r="AZF3" s="24"/>
      <c r="AZG3" s="24"/>
      <c r="AZH3" s="24"/>
      <c r="AZI3" s="24"/>
      <c r="AZJ3" s="24"/>
      <c r="AZK3" s="24"/>
      <c r="AZL3" s="24"/>
      <c r="AZM3" s="24"/>
      <c r="AZN3" s="24"/>
      <c r="AZO3" s="24"/>
      <c r="AZP3" s="24"/>
      <c r="AZQ3" s="24"/>
      <c r="AZR3" s="24"/>
      <c r="AZS3" s="24"/>
      <c r="AZT3" s="24"/>
      <c r="AZU3" s="24"/>
      <c r="AZV3" s="24"/>
      <c r="AZW3" s="24"/>
      <c r="AZX3" s="24"/>
      <c r="AZY3" s="24"/>
      <c r="AZZ3" s="24"/>
      <c r="BAA3" s="24"/>
      <c r="BAB3" s="24"/>
      <c r="BAC3" s="24"/>
      <c r="BAD3" s="24"/>
      <c r="BAE3" s="24"/>
      <c r="BAF3" s="24"/>
      <c r="BAG3" s="24"/>
      <c r="BAH3" s="24"/>
      <c r="BAI3" s="24"/>
      <c r="BAJ3" s="24"/>
      <c r="BAK3" s="24"/>
      <c r="BAL3" s="24"/>
      <c r="BAM3" s="24"/>
      <c r="BAN3" s="24"/>
      <c r="BAO3" s="24"/>
      <c r="BAP3" s="24"/>
      <c r="BAQ3" s="24"/>
      <c r="BAR3" s="24"/>
      <c r="BAS3" s="24"/>
      <c r="BAT3" s="24"/>
      <c r="BAU3" s="24"/>
      <c r="BAV3" s="24"/>
      <c r="BAW3" s="24"/>
      <c r="BAX3" s="24"/>
      <c r="BAY3" s="24"/>
      <c r="BAZ3" s="24"/>
      <c r="BBA3" s="24"/>
      <c r="BBB3" s="24"/>
      <c r="BBC3" s="24"/>
      <c r="BBD3" s="24"/>
      <c r="BBE3" s="24"/>
      <c r="BBF3" s="24"/>
      <c r="BBG3" s="24"/>
      <c r="BBH3" s="24"/>
      <c r="BBI3" s="24"/>
      <c r="BBJ3" s="24"/>
      <c r="BBK3" s="24"/>
      <c r="BBL3" s="24"/>
      <c r="BBM3" s="24"/>
      <c r="BBN3" s="24"/>
      <c r="BBO3" s="24"/>
      <c r="BBP3" s="24"/>
      <c r="BBQ3" s="24"/>
      <c r="BBR3" s="24"/>
      <c r="BBS3" s="24"/>
      <c r="BBT3" s="24"/>
      <c r="BBU3" s="24"/>
      <c r="BBV3" s="24"/>
      <c r="BBW3" s="24"/>
      <c r="BBX3" s="24"/>
      <c r="BBY3" s="24"/>
      <c r="BBZ3" s="24"/>
      <c r="BCA3" s="24"/>
      <c r="BCB3" s="24"/>
      <c r="BCC3" s="24"/>
      <c r="BCD3" s="24"/>
      <c r="BCE3" s="24"/>
      <c r="BCF3" s="24"/>
      <c r="BCG3" s="24"/>
      <c r="BCH3" s="24"/>
      <c r="BCI3" s="24"/>
      <c r="BCJ3" s="24"/>
      <c r="BCK3" s="24"/>
      <c r="BCL3" s="24"/>
      <c r="BCM3" s="24"/>
      <c r="BCN3" s="24"/>
      <c r="BCO3" s="24"/>
      <c r="BCP3" s="24"/>
      <c r="BCQ3" s="24"/>
      <c r="BCR3" s="24"/>
      <c r="BCS3" s="24"/>
      <c r="BCT3" s="24"/>
      <c r="BCU3" s="24"/>
      <c r="BCV3" s="24"/>
      <c r="BCW3" s="24"/>
      <c r="BCX3" s="24"/>
      <c r="BCY3" s="24"/>
      <c r="BCZ3" s="24"/>
      <c r="BDA3" s="24"/>
      <c r="BDB3" s="24"/>
      <c r="BDC3" s="24"/>
      <c r="BDD3" s="24"/>
      <c r="BDE3" s="24"/>
      <c r="BDF3" s="24"/>
      <c r="BDG3" s="24"/>
      <c r="BDH3" s="24"/>
      <c r="BDI3" s="24"/>
      <c r="BDJ3" s="24"/>
      <c r="BDK3" s="24"/>
      <c r="BDL3" s="24"/>
      <c r="BDM3" s="24"/>
      <c r="BDN3" s="24"/>
      <c r="BDO3" s="24"/>
      <c r="BDP3" s="24"/>
      <c r="BDQ3" s="24"/>
      <c r="BDR3" s="24"/>
      <c r="BDS3" s="24"/>
      <c r="BDT3" s="24"/>
      <c r="BDU3" s="24"/>
      <c r="BDV3" s="24"/>
      <c r="BDW3" s="24"/>
      <c r="BDX3" s="24"/>
      <c r="BDY3" s="24"/>
      <c r="BDZ3" s="24"/>
      <c r="BEA3" s="24"/>
      <c r="BEB3" s="24"/>
      <c r="BEC3" s="24"/>
      <c r="BED3" s="24"/>
      <c r="BEE3" s="24"/>
      <c r="BEF3" s="24"/>
      <c r="BEG3" s="24"/>
      <c r="BEH3" s="24"/>
      <c r="BEI3" s="24"/>
      <c r="BEJ3" s="24"/>
      <c r="BEK3" s="24"/>
      <c r="BEL3" s="24"/>
      <c r="BEM3" s="24"/>
      <c r="BEN3" s="24"/>
      <c r="BEO3" s="24"/>
      <c r="BEP3" s="24"/>
      <c r="BEQ3" s="24"/>
      <c r="BER3" s="24"/>
      <c r="BES3" s="24"/>
      <c r="BET3" s="24"/>
      <c r="BEU3" s="24"/>
      <c r="BEV3" s="24"/>
      <c r="BEW3" s="24"/>
      <c r="BEX3" s="24"/>
      <c r="BEY3" s="24"/>
      <c r="BEZ3" s="24"/>
      <c r="BFA3" s="24"/>
      <c r="BFB3" s="24"/>
      <c r="BFC3" s="24"/>
      <c r="BFD3" s="24"/>
      <c r="BFE3" s="24"/>
      <c r="BFF3" s="24"/>
      <c r="BFG3" s="24"/>
      <c r="BFH3" s="24"/>
      <c r="BFI3" s="24"/>
      <c r="BFJ3" s="24"/>
      <c r="BFK3" s="24"/>
      <c r="BFL3" s="24"/>
      <c r="BFM3" s="24"/>
      <c r="BFN3" s="24"/>
      <c r="BFO3" s="24"/>
      <c r="BFP3" s="24"/>
      <c r="BFQ3" s="24"/>
      <c r="BFR3" s="24"/>
      <c r="BFS3" s="24"/>
      <c r="BFT3" s="24"/>
      <c r="BFU3" s="24"/>
      <c r="BFV3" s="24"/>
      <c r="BFW3" s="24"/>
      <c r="BFX3" s="24"/>
      <c r="BFY3" s="24"/>
      <c r="BFZ3" s="24"/>
      <c r="BGA3" s="24"/>
      <c r="BGB3" s="24"/>
      <c r="BGC3" s="24"/>
      <c r="BGD3" s="24"/>
      <c r="BGE3" s="24"/>
      <c r="BGF3" s="24"/>
      <c r="BGG3" s="24"/>
      <c r="BGH3" s="24"/>
      <c r="BGI3" s="24"/>
      <c r="BGJ3" s="24"/>
      <c r="BGK3" s="24"/>
      <c r="BGL3" s="24"/>
      <c r="BGM3" s="24"/>
      <c r="BGN3" s="24"/>
      <c r="BGO3" s="24"/>
      <c r="BGP3" s="24"/>
      <c r="BGQ3" s="24"/>
      <c r="BGR3" s="24"/>
      <c r="BGS3" s="24"/>
      <c r="BGT3" s="24"/>
      <c r="BGU3" s="24"/>
      <c r="BGV3" s="24"/>
      <c r="BGW3" s="24"/>
      <c r="BGX3" s="24"/>
      <c r="BGY3" s="24"/>
      <c r="BGZ3" s="24"/>
      <c r="BHA3" s="24"/>
      <c r="BHB3" s="24"/>
      <c r="BHC3" s="24"/>
      <c r="BHD3" s="24"/>
      <c r="BHE3" s="24"/>
      <c r="BHF3" s="24"/>
      <c r="BHG3" s="24"/>
      <c r="BHH3" s="24"/>
      <c r="BHI3" s="24"/>
      <c r="BHJ3" s="24"/>
      <c r="BHK3" s="24"/>
      <c r="BHL3" s="24"/>
      <c r="BHM3" s="24"/>
      <c r="BHN3" s="24"/>
      <c r="BHO3" s="24"/>
      <c r="BHP3" s="24"/>
      <c r="BHQ3" s="24"/>
      <c r="BHR3" s="24"/>
      <c r="BHS3" s="24"/>
      <c r="BHT3" s="24"/>
      <c r="BHU3" s="24"/>
      <c r="BHV3" s="24"/>
      <c r="BHW3" s="24"/>
      <c r="BHX3" s="24"/>
      <c r="BHY3" s="24"/>
      <c r="BHZ3" s="24"/>
      <c r="BIA3" s="24"/>
      <c r="BIB3" s="24"/>
      <c r="BIC3" s="24"/>
      <c r="BID3" s="24"/>
      <c r="BIE3" s="24"/>
      <c r="BIF3" s="24"/>
      <c r="BIG3" s="24"/>
      <c r="BIH3" s="24"/>
      <c r="BII3" s="24"/>
      <c r="BIJ3" s="24"/>
      <c r="BIK3" s="24"/>
      <c r="BIL3" s="24"/>
      <c r="BIM3" s="24"/>
      <c r="BIN3" s="24"/>
      <c r="BIO3" s="24"/>
      <c r="BIP3" s="24"/>
      <c r="BIQ3" s="24"/>
      <c r="BIR3" s="24"/>
      <c r="BIS3" s="24"/>
      <c r="BIT3" s="24"/>
      <c r="BIU3" s="24"/>
      <c r="BIV3" s="24"/>
      <c r="BIW3" s="24"/>
      <c r="BIX3" s="24"/>
      <c r="BIY3" s="24"/>
      <c r="BIZ3" s="24"/>
      <c r="BJA3" s="24"/>
      <c r="BJB3" s="24"/>
      <c r="BJC3" s="24"/>
      <c r="BJD3" s="24"/>
      <c r="BJE3" s="24"/>
      <c r="BJF3" s="24"/>
      <c r="BJG3" s="24"/>
      <c r="BJH3" s="24"/>
      <c r="BJI3" s="24"/>
      <c r="BJJ3" s="24"/>
      <c r="BJK3" s="24"/>
      <c r="BJL3" s="24"/>
      <c r="BJM3" s="24"/>
      <c r="BJN3" s="24"/>
      <c r="BJO3" s="24"/>
      <c r="BJP3" s="24"/>
      <c r="BJQ3" s="24"/>
      <c r="BJR3" s="24"/>
      <c r="BJS3" s="24"/>
      <c r="BJT3" s="24"/>
      <c r="BJU3" s="24"/>
      <c r="BJV3" s="24"/>
      <c r="BJW3" s="24"/>
      <c r="BJX3" s="24"/>
      <c r="BJY3" s="24"/>
      <c r="BJZ3" s="24"/>
      <c r="BKA3" s="24"/>
      <c r="BKB3" s="24"/>
      <c r="BKC3" s="24"/>
      <c r="BKD3" s="24"/>
      <c r="BKE3" s="24"/>
      <c r="BKF3" s="24"/>
      <c r="BKG3" s="24"/>
      <c r="BKH3" s="24"/>
      <c r="BKI3" s="24"/>
      <c r="BKJ3" s="24"/>
      <c r="BKK3" s="24"/>
      <c r="BKL3" s="24"/>
      <c r="BKM3" s="24"/>
      <c r="BKN3" s="24"/>
      <c r="BKO3" s="24"/>
      <c r="BKP3" s="24"/>
      <c r="BKQ3" s="24"/>
      <c r="BKR3" s="24"/>
      <c r="BKS3" s="24"/>
      <c r="BKT3" s="24"/>
      <c r="BKU3" s="24"/>
      <c r="BKV3" s="24"/>
      <c r="BKW3" s="24"/>
      <c r="BKX3" s="24"/>
      <c r="BKY3" s="24"/>
      <c r="BKZ3" s="24"/>
      <c r="BLA3" s="24"/>
      <c r="BLB3" s="24"/>
      <c r="BLC3" s="24"/>
      <c r="BLD3" s="24"/>
      <c r="BLE3" s="24"/>
      <c r="BLF3" s="24"/>
      <c r="BLG3" s="24"/>
      <c r="BLH3" s="24"/>
      <c r="BLI3" s="24"/>
      <c r="BLJ3" s="24"/>
      <c r="BLK3" s="24"/>
      <c r="BLL3" s="24"/>
      <c r="BLM3" s="24"/>
      <c r="BLN3" s="24"/>
      <c r="BLO3" s="24"/>
      <c r="BLP3" s="24"/>
      <c r="BLQ3" s="24"/>
      <c r="BLR3" s="24"/>
      <c r="BLS3" s="24"/>
      <c r="BLT3" s="24"/>
      <c r="BLU3" s="24"/>
      <c r="BLV3" s="24"/>
      <c r="BLW3" s="24"/>
      <c r="BLX3" s="24"/>
      <c r="BLY3" s="24"/>
      <c r="BLZ3" s="24"/>
      <c r="BMA3" s="24"/>
      <c r="BMB3" s="24"/>
      <c r="BMC3" s="24"/>
      <c r="BMD3" s="24"/>
      <c r="BME3" s="24"/>
      <c r="BMF3" s="24"/>
      <c r="BMG3" s="24"/>
      <c r="BMH3" s="24"/>
      <c r="BMI3" s="24"/>
      <c r="BMJ3" s="24"/>
      <c r="BMK3" s="24"/>
      <c r="BML3" s="24"/>
      <c r="BMM3" s="24"/>
      <c r="BMN3" s="24"/>
      <c r="BMO3" s="24"/>
      <c r="BMP3" s="24"/>
      <c r="BMQ3" s="24"/>
      <c r="BMR3" s="24"/>
      <c r="BMS3" s="24"/>
      <c r="BMT3" s="24"/>
      <c r="BMU3" s="24"/>
      <c r="BMV3" s="24"/>
      <c r="BMW3" s="24"/>
      <c r="BMX3" s="24"/>
      <c r="BMY3" s="24"/>
      <c r="BMZ3" s="24"/>
      <c r="BNA3" s="24"/>
      <c r="BNB3" s="24"/>
      <c r="BNC3" s="24"/>
      <c r="BND3" s="24"/>
      <c r="BNE3" s="24"/>
      <c r="BNF3" s="24"/>
      <c r="BNG3" s="24"/>
      <c r="BNH3" s="24"/>
      <c r="BNI3" s="24"/>
      <c r="BNJ3" s="24"/>
      <c r="BNK3" s="24"/>
      <c r="BNL3" s="24"/>
      <c r="BNM3" s="24"/>
      <c r="BNN3" s="24"/>
      <c r="BNO3" s="24"/>
      <c r="BNP3" s="24"/>
      <c r="BNQ3" s="24"/>
      <c r="BNR3" s="24"/>
      <c r="BNS3" s="24"/>
      <c r="BNT3" s="24"/>
      <c r="BNU3" s="24"/>
      <c r="BNV3" s="24"/>
      <c r="BNW3" s="24"/>
      <c r="BNX3" s="24"/>
      <c r="BNY3" s="24"/>
      <c r="BNZ3" s="24"/>
      <c r="BOA3" s="24"/>
      <c r="BOB3" s="24"/>
      <c r="BOC3" s="24"/>
      <c r="BOD3" s="24"/>
      <c r="BOE3" s="24"/>
      <c r="BOF3" s="24"/>
      <c r="BOG3" s="24"/>
      <c r="BOH3" s="24"/>
      <c r="BOI3" s="24"/>
      <c r="BOJ3" s="24"/>
      <c r="BOK3" s="24"/>
      <c r="BOL3" s="24"/>
      <c r="BOM3" s="24"/>
      <c r="BON3" s="24"/>
      <c r="BOO3" s="24"/>
      <c r="BOP3" s="24"/>
      <c r="BOQ3" s="24"/>
      <c r="BOR3" s="24"/>
      <c r="BOS3" s="24"/>
      <c r="BOT3" s="24"/>
      <c r="BOU3" s="24"/>
      <c r="BOV3" s="24"/>
      <c r="BOW3" s="24"/>
      <c r="BOX3" s="24"/>
      <c r="BOY3" s="24"/>
      <c r="BOZ3" s="24"/>
      <c r="BPA3" s="24"/>
      <c r="BPB3" s="24"/>
      <c r="BPC3" s="24"/>
      <c r="BPD3" s="24"/>
      <c r="BPE3" s="24"/>
      <c r="BPF3" s="24"/>
      <c r="BPG3" s="24"/>
      <c r="BPH3" s="24"/>
      <c r="BPI3" s="24"/>
      <c r="BPJ3" s="24"/>
      <c r="BPK3" s="24"/>
      <c r="BPL3" s="24"/>
      <c r="BPM3" s="24"/>
      <c r="BPN3" s="24"/>
      <c r="BPO3" s="24"/>
      <c r="BPP3" s="24"/>
      <c r="BPQ3" s="24"/>
      <c r="BPR3" s="24"/>
      <c r="BPS3" s="24"/>
      <c r="BPT3" s="24"/>
      <c r="BPU3" s="24"/>
      <c r="BPV3" s="24"/>
      <c r="BPW3" s="24"/>
      <c r="BPX3" s="24"/>
      <c r="BPY3" s="24"/>
      <c r="BPZ3" s="24"/>
      <c r="BQA3" s="24"/>
      <c r="BQB3" s="24"/>
      <c r="BQC3" s="24"/>
      <c r="BQD3" s="24"/>
      <c r="BQE3" s="24"/>
      <c r="BQF3" s="24"/>
      <c r="BQG3" s="24"/>
      <c r="BQH3" s="24"/>
      <c r="BQI3" s="24"/>
      <c r="BQJ3" s="24"/>
      <c r="BQK3" s="24"/>
      <c r="BQL3" s="24"/>
      <c r="BQM3" s="24"/>
      <c r="BQN3" s="24"/>
      <c r="BQO3" s="24"/>
      <c r="BQP3" s="24"/>
      <c r="BQQ3" s="24"/>
      <c r="BQR3" s="24"/>
      <c r="BQS3" s="24"/>
      <c r="BQT3" s="24"/>
      <c r="BQU3" s="24"/>
      <c r="BQV3" s="24"/>
      <c r="BQW3" s="24"/>
      <c r="BQX3" s="24"/>
      <c r="BQY3" s="24"/>
      <c r="BQZ3" s="24"/>
      <c r="BRA3" s="24"/>
      <c r="BRB3" s="24"/>
      <c r="BRC3" s="24"/>
      <c r="BRD3" s="24"/>
      <c r="BRE3" s="24"/>
      <c r="BRF3" s="24"/>
      <c r="BRG3" s="24"/>
      <c r="BRH3" s="24"/>
      <c r="BRI3" s="24"/>
      <c r="BRJ3" s="24"/>
      <c r="BRK3" s="24"/>
      <c r="BRL3" s="24"/>
      <c r="BRM3" s="24"/>
      <c r="BRN3" s="24"/>
      <c r="BRO3" s="24"/>
      <c r="BRP3" s="24"/>
      <c r="BRQ3" s="24"/>
      <c r="BRR3" s="24"/>
      <c r="BRS3" s="24"/>
      <c r="BRT3" s="24"/>
      <c r="BRU3" s="24"/>
      <c r="BRV3" s="24"/>
      <c r="BRW3" s="24"/>
      <c r="BRX3" s="24"/>
      <c r="BRY3" s="24"/>
      <c r="BRZ3" s="24"/>
      <c r="BSA3" s="24"/>
      <c r="BSB3" s="24"/>
      <c r="BSC3" s="24"/>
      <c r="BSD3" s="24"/>
      <c r="BSE3" s="24"/>
      <c r="BSF3" s="24"/>
      <c r="BSG3" s="24"/>
      <c r="BSH3" s="24"/>
      <c r="BSI3" s="24"/>
      <c r="BSJ3" s="24"/>
      <c r="BSK3" s="24"/>
      <c r="BSL3" s="24"/>
      <c r="BSM3" s="24"/>
      <c r="BSN3" s="24"/>
      <c r="BSO3" s="24"/>
      <c r="BSP3" s="24"/>
      <c r="BSQ3" s="24"/>
      <c r="BSR3" s="24"/>
      <c r="BSS3" s="24"/>
      <c r="BST3" s="24"/>
      <c r="BSU3" s="24"/>
      <c r="BSV3" s="24"/>
      <c r="BSW3" s="24"/>
      <c r="BSX3" s="24"/>
      <c r="BSY3" s="24"/>
      <c r="BSZ3" s="24"/>
      <c r="BTA3" s="24"/>
      <c r="BTB3" s="24"/>
      <c r="BTC3" s="24"/>
      <c r="BTD3" s="24"/>
      <c r="BTE3" s="24"/>
      <c r="BTF3" s="24"/>
      <c r="BTG3" s="24"/>
      <c r="BTH3" s="24"/>
      <c r="BTI3" s="24"/>
      <c r="BTJ3" s="24"/>
      <c r="BTK3" s="24"/>
      <c r="BTL3" s="24"/>
      <c r="BTM3" s="24"/>
      <c r="BTN3" s="24"/>
      <c r="BTO3" s="24"/>
      <c r="BTP3" s="24"/>
      <c r="BTQ3" s="24"/>
      <c r="BTR3" s="24"/>
      <c r="BTS3" s="24"/>
      <c r="BTT3" s="24"/>
      <c r="BTU3" s="24"/>
      <c r="BTV3" s="24"/>
      <c r="BTW3" s="24"/>
      <c r="BTX3" s="24"/>
      <c r="BTY3" s="24"/>
      <c r="BTZ3" s="24"/>
      <c r="BUA3" s="24"/>
      <c r="BUB3" s="24"/>
      <c r="BUC3" s="24"/>
      <c r="BUD3" s="24"/>
      <c r="BUE3" s="24"/>
      <c r="BUF3" s="24"/>
      <c r="BUG3" s="24"/>
      <c r="BUH3" s="24"/>
      <c r="BUI3" s="24"/>
      <c r="BUJ3" s="24"/>
      <c r="BUK3" s="24"/>
      <c r="BUL3" s="24"/>
      <c r="BUM3" s="24"/>
      <c r="BUN3" s="24"/>
      <c r="BUO3" s="24"/>
      <c r="BUP3" s="24"/>
      <c r="BUQ3" s="24"/>
      <c r="BUR3" s="24"/>
      <c r="BUS3" s="24"/>
      <c r="BUT3" s="24"/>
      <c r="BUU3" s="24"/>
      <c r="BUV3" s="24"/>
      <c r="BUW3" s="24"/>
      <c r="BUX3" s="24"/>
      <c r="BUY3" s="24"/>
      <c r="BUZ3" s="24"/>
      <c r="BVA3" s="24"/>
      <c r="BVB3" s="24"/>
      <c r="BVC3" s="24"/>
      <c r="BVD3" s="24"/>
      <c r="BVE3" s="24"/>
      <c r="BVF3" s="24"/>
      <c r="BVG3" s="24"/>
      <c r="BVH3" s="24"/>
      <c r="BVI3" s="24"/>
      <c r="BVJ3" s="24"/>
      <c r="BVK3" s="24"/>
      <c r="BVL3" s="24"/>
      <c r="BVM3" s="24"/>
      <c r="BVN3" s="24"/>
      <c r="BVO3" s="24"/>
      <c r="BVP3" s="24"/>
      <c r="BVQ3" s="24"/>
      <c r="BVR3" s="24"/>
      <c r="BVS3" s="24"/>
      <c r="BVT3" s="24"/>
      <c r="BVU3" s="24"/>
      <c r="BVV3" s="24"/>
      <c r="BVW3" s="24"/>
      <c r="BVX3" s="24"/>
      <c r="BVY3" s="24"/>
      <c r="BVZ3" s="24"/>
      <c r="BWA3" s="24"/>
      <c r="BWB3" s="24"/>
      <c r="BWC3" s="24"/>
      <c r="BWD3" s="24"/>
      <c r="BWE3" s="24"/>
      <c r="BWF3" s="24"/>
      <c r="BWG3" s="24"/>
      <c r="BWH3" s="24"/>
      <c r="BWI3" s="24"/>
      <c r="BWJ3" s="24"/>
      <c r="BWK3" s="24"/>
      <c r="BWL3" s="24"/>
      <c r="BWM3" s="24"/>
      <c r="BWN3" s="24"/>
      <c r="BWO3" s="24"/>
      <c r="BWP3" s="24"/>
      <c r="BWQ3" s="24"/>
      <c r="BWR3" s="24"/>
      <c r="BWS3" s="24"/>
      <c r="BWT3" s="24"/>
      <c r="BWU3" s="24"/>
      <c r="BWV3" s="24"/>
      <c r="BWW3" s="24"/>
      <c r="BWX3" s="24"/>
      <c r="BWY3" s="24"/>
      <c r="BWZ3" s="24"/>
      <c r="BXA3" s="24"/>
      <c r="BXB3" s="24"/>
      <c r="BXC3" s="24"/>
      <c r="BXD3" s="24"/>
      <c r="BXE3" s="24"/>
      <c r="BXF3" s="24"/>
      <c r="BXG3" s="24"/>
      <c r="BXH3" s="24"/>
      <c r="BXI3" s="24"/>
      <c r="BXJ3" s="24"/>
      <c r="BXK3" s="24"/>
      <c r="BXL3" s="24"/>
      <c r="BXM3" s="24"/>
      <c r="BXN3" s="24"/>
      <c r="BXO3" s="24"/>
      <c r="BXP3" s="24"/>
      <c r="BXQ3" s="24"/>
      <c r="BXR3" s="24"/>
      <c r="BXS3" s="24"/>
      <c r="BXT3" s="24"/>
      <c r="BXU3" s="24"/>
      <c r="BXV3" s="24"/>
      <c r="BXW3" s="24"/>
      <c r="BXX3" s="24"/>
      <c r="BXY3" s="24"/>
      <c r="BXZ3" s="24"/>
      <c r="BYA3" s="24"/>
      <c r="BYB3" s="24"/>
      <c r="BYC3" s="24"/>
      <c r="BYD3" s="24"/>
      <c r="BYE3" s="24"/>
      <c r="BYF3" s="24"/>
      <c r="BYG3" s="24"/>
      <c r="BYH3" s="24"/>
      <c r="BYI3" s="24"/>
      <c r="BYJ3" s="24"/>
      <c r="BYK3" s="24"/>
      <c r="BYL3" s="24"/>
      <c r="BYM3" s="24"/>
      <c r="BYN3" s="24"/>
      <c r="BYO3" s="24"/>
      <c r="BYP3" s="24"/>
      <c r="BYQ3" s="24"/>
      <c r="BYR3" s="24"/>
      <c r="BYS3" s="24"/>
      <c r="BYT3" s="24"/>
      <c r="BYU3" s="24"/>
      <c r="BYV3" s="24"/>
      <c r="BYW3" s="24"/>
      <c r="BYX3" s="24"/>
      <c r="BYY3" s="24"/>
      <c r="BYZ3" s="24"/>
      <c r="BZA3" s="24"/>
      <c r="BZB3" s="24"/>
      <c r="BZC3" s="24"/>
      <c r="BZD3" s="24"/>
      <c r="BZE3" s="24"/>
      <c r="BZF3" s="24"/>
      <c r="BZG3" s="24"/>
      <c r="BZH3" s="24"/>
      <c r="BZI3" s="24"/>
      <c r="BZJ3" s="24"/>
      <c r="BZK3" s="24"/>
      <c r="BZL3" s="24"/>
      <c r="BZM3" s="24"/>
      <c r="BZN3" s="24"/>
      <c r="BZO3" s="24"/>
      <c r="BZP3" s="24"/>
      <c r="BZQ3" s="24"/>
      <c r="BZR3" s="24"/>
      <c r="BZS3" s="24"/>
      <c r="BZT3" s="24"/>
      <c r="BZU3" s="24"/>
      <c r="BZV3" s="24"/>
      <c r="BZW3" s="24"/>
      <c r="BZX3" s="24"/>
      <c r="BZY3" s="24"/>
      <c r="BZZ3" s="24"/>
      <c r="CAA3" s="24"/>
      <c r="CAB3" s="24"/>
      <c r="CAC3" s="24"/>
      <c r="CAD3" s="24"/>
      <c r="CAE3" s="24"/>
      <c r="CAF3" s="24"/>
      <c r="CAG3" s="24"/>
      <c r="CAH3" s="24"/>
      <c r="CAI3" s="24"/>
      <c r="CAJ3" s="24"/>
      <c r="CAK3" s="24"/>
      <c r="CAL3" s="24"/>
      <c r="CAM3" s="24"/>
      <c r="CAN3" s="24"/>
      <c r="CAO3" s="24"/>
      <c r="CAP3" s="24"/>
      <c r="CAQ3" s="24"/>
      <c r="CAR3" s="24"/>
      <c r="CAS3" s="24"/>
      <c r="CAT3" s="24"/>
      <c r="CAU3" s="24"/>
      <c r="CAV3" s="24"/>
      <c r="CAW3" s="24"/>
      <c r="CAX3" s="24"/>
      <c r="CAY3" s="24"/>
      <c r="CAZ3" s="24"/>
      <c r="CBA3" s="24"/>
      <c r="CBB3" s="24"/>
      <c r="CBC3" s="24"/>
      <c r="CBD3" s="24"/>
      <c r="CBE3" s="24"/>
      <c r="CBF3" s="24"/>
      <c r="CBG3" s="24"/>
      <c r="CBH3" s="24"/>
      <c r="CBI3" s="24"/>
      <c r="CBJ3" s="24"/>
      <c r="CBK3" s="24"/>
      <c r="CBL3" s="24"/>
      <c r="CBM3" s="24"/>
      <c r="CBN3" s="24"/>
      <c r="CBO3" s="24"/>
      <c r="CBP3" s="24"/>
      <c r="CBQ3" s="24"/>
      <c r="CBR3" s="24"/>
      <c r="CBS3" s="24"/>
      <c r="CBT3" s="24"/>
      <c r="CBU3" s="24"/>
      <c r="CBV3" s="24"/>
      <c r="CBW3" s="24"/>
      <c r="CBX3" s="24"/>
      <c r="CBY3" s="24"/>
      <c r="CBZ3" s="24"/>
      <c r="CCA3" s="24"/>
      <c r="CCB3" s="24"/>
      <c r="CCC3" s="24"/>
      <c r="CCD3" s="24"/>
      <c r="CCE3" s="24"/>
      <c r="CCF3" s="24"/>
      <c r="CCG3" s="24"/>
      <c r="CCH3" s="24"/>
      <c r="CCI3" s="24"/>
      <c r="CCJ3" s="24"/>
      <c r="CCK3" s="24"/>
      <c r="CCL3" s="24"/>
      <c r="CCM3" s="24"/>
      <c r="CCN3" s="24"/>
      <c r="CCO3" s="24"/>
      <c r="CCP3" s="24"/>
      <c r="CCQ3" s="24"/>
      <c r="CCR3" s="24"/>
      <c r="CCS3" s="24"/>
      <c r="CCT3" s="24"/>
      <c r="CCU3" s="24"/>
      <c r="CCV3" s="24"/>
      <c r="CCW3" s="24"/>
      <c r="CCX3" s="24"/>
      <c r="CCY3" s="24"/>
      <c r="CCZ3" s="24"/>
      <c r="CDA3" s="24"/>
      <c r="CDB3" s="24"/>
      <c r="CDC3" s="24"/>
      <c r="CDD3" s="24"/>
      <c r="CDE3" s="24"/>
      <c r="CDF3" s="24"/>
      <c r="CDG3" s="24"/>
      <c r="CDH3" s="24"/>
      <c r="CDI3" s="24"/>
      <c r="CDJ3" s="24"/>
      <c r="CDK3" s="24"/>
      <c r="CDL3" s="24"/>
      <c r="CDM3" s="24"/>
      <c r="CDN3" s="24"/>
      <c r="CDO3" s="24"/>
      <c r="CDP3" s="24"/>
      <c r="CDQ3" s="24"/>
      <c r="CDR3" s="24"/>
      <c r="CDS3" s="24"/>
      <c r="CDT3" s="24"/>
      <c r="CDU3" s="24"/>
      <c r="CDV3" s="24"/>
      <c r="CDW3" s="24"/>
      <c r="CDX3" s="24"/>
      <c r="CDY3" s="24"/>
      <c r="CDZ3" s="24"/>
      <c r="CEA3" s="24"/>
      <c r="CEB3" s="24"/>
      <c r="CEC3" s="24"/>
      <c r="CED3" s="24"/>
      <c r="CEE3" s="24"/>
      <c r="CEF3" s="24"/>
      <c r="CEG3" s="24"/>
      <c r="CEH3" s="24"/>
      <c r="CEI3" s="24"/>
      <c r="CEJ3" s="24"/>
      <c r="CEK3" s="24"/>
      <c r="CEL3" s="24"/>
      <c r="CEM3" s="24"/>
      <c r="CEN3" s="24"/>
      <c r="CEO3" s="24"/>
      <c r="CEP3" s="24"/>
      <c r="CEQ3" s="24"/>
      <c r="CER3" s="24"/>
      <c r="CES3" s="24"/>
      <c r="CET3" s="24"/>
      <c r="CEU3" s="24"/>
      <c r="CEV3" s="24"/>
      <c r="CEW3" s="24"/>
      <c r="CEX3" s="24"/>
      <c r="CEY3" s="24"/>
      <c r="CEZ3" s="24"/>
      <c r="CFA3" s="24"/>
      <c r="CFB3" s="24"/>
      <c r="CFC3" s="24"/>
      <c r="CFD3" s="24"/>
      <c r="CFE3" s="24"/>
      <c r="CFF3" s="24"/>
      <c r="CFG3" s="24"/>
      <c r="CFH3" s="24"/>
      <c r="CFI3" s="24"/>
      <c r="CFJ3" s="24"/>
      <c r="CFK3" s="24"/>
      <c r="CFL3" s="24"/>
      <c r="CFM3" s="24"/>
      <c r="CFN3" s="24"/>
      <c r="CFO3" s="24"/>
      <c r="CFP3" s="24"/>
      <c r="CFQ3" s="24"/>
      <c r="CFR3" s="24"/>
      <c r="CFS3" s="24"/>
      <c r="CFT3" s="24"/>
      <c r="CFU3" s="24"/>
      <c r="CFV3" s="24"/>
      <c r="CFW3" s="24"/>
      <c r="CFX3" s="24"/>
      <c r="CFY3" s="24"/>
      <c r="CFZ3" s="24"/>
      <c r="CGA3" s="24"/>
      <c r="CGB3" s="24"/>
      <c r="CGC3" s="24"/>
      <c r="CGD3" s="24"/>
      <c r="CGE3" s="24"/>
      <c r="CGF3" s="24"/>
      <c r="CGG3" s="24"/>
      <c r="CGH3" s="24"/>
      <c r="CGI3" s="24"/>
      <c r="CGJ3" s="24"/>
      <c r="CGK3" s="24"/>
      <c r="CGL3" s="24"/>
      <c r="CGM3" s="24"/>
      <c r="CGN3" s="24"/>
      <c r="CGO3" s="24"/>
      <c r="CGP3" s="24"/>
      <c r="CGQ3" s="24"/>
      <c r="CGR3" s="24"/>
      <c r="CGS3" s="24"/>
      <c r="CGT3" s="24"/>
      <c r="CGU3" s="24"/>
      <c r="CGV3" s="24"/>
      <c r="CGW3" s="24"/>
      <c r="CGX3" s="24"/>
      <c r="CGY3" s="24"/>
      <c r="CGZ3" s="24"/>
      <c r="CHA3" s="24"/>
      <c r="CHB3" s="24"/>
      <c r="CHC3" s="24"/>
      <c r="CHD3" s="24"/>
      <c r="CHE3" s="24"/>
      <c r="CHF3" s="24"/>
      <c r="CHG3" s="24"/>
      <c r="CHH3" s="24"/>
      <c r="CHI3" s="24"/>
      <c r="CHJ3" s="24"/>
      <c r="CHK3" s="24"/>
      <c r="CHL3" s="24"/>
      <c r="CHM3" s="24"/>
      <c r="CHN3" s="24"/>
      <c r="CHO3" s="24"/>
      <c r="CHP3" s="24"/>
      <c r="CHQ3" s="24"/>
      <c r="CHR3" s="24"/>
      <c r="CHS3" s="24"/>
      <c r="CHT3" s="24"/>
      <c r="CHU3" s="24"/>
      <c r="CHV3" s="24"/>
      <c r="CHW3" s="24"/>
      <c r="CHX3" s="24"/>
      <c r="CHY3" s="24"/>
      <c r="CHZ3" s="24"/>
      <c r="CIA3" s="24"/>
      <c r="CIB3" s="24"/>
      <c r="CIC3" s="24"/>
      <c r="CID3" s="24"/>
      <c r="CIE3" s="24"/>
      <c r="CIF3" s="24"/>
      <c r="CIG3" s="24"/>
      <c r="CIH3" s="24"/>
      <c r="CII3" s="24"/>
      <c r="CIJ3" s="24"/>
      <c r="CIK3" s="24"/>
      <c r="CIL3" s="24"/>
      <c r="CIM3" s="24"/>
      <c r="CIN3" s="24"/>
      <c r="CIO3" s="24"/>
      <c r="CIP3" s="24"/>
      <c r="CIQ3" s="24"/>
      <c r="CIR3" s="24"/>
      <c r="CIS3" s="24"/>
      <c r="CIT3" s="24"/>
      <c r="CIU3" s="24"/>
      <c r="CIV3" s="24"/>
      <c r="CIW3" s="24"/>
      <c r="CIX3" s="24"/>
      <c r="CIY3" s="24"/>
      <c r="CIZ3" s="24"/>
      <c r="CJA3" s="24"/>
      <c r="CJB3" s="24"/>
      <c r="CJC3" s="24"/>
      <c r="CJD3" s="24"/>
      <c r="CJE3" s="24"/>
      <c r="CJF3" s="24"/>
      <c r="CJG3" s="24"/>
      <c r="CJH3" s="24"/>
      <c r="CJI3" s="24"/>
      <c r="CJJ3" s="24"/>
      <c r="CJK3" s="24"/>
      <c r="CJL3" s="24"/>
      <c r="CJM3" s="24"/>
      <c r="CJN3" s="24"/>
      <c r="CJO3" s="24"/>
      <c r="CJP3" s="24"/>
      <c r="CJQ3" s="24"/>
      <c r="CJR3" s="24"/>
      <c r="CJS3" s="24"/>
      <c r="CJT3" s="24"/>
      <c r="CJU3" s="24"/>
      <c r="CJV3" s="24"/>
      <c r="CJW3" s="24"/>
      <c r="CJX3" s="24"/>
      <c r="CJY3" s="24"/>
      <c r="CJZ3" s="24"/>
      <c r="CKA3" s="24"/>
      <c r="CKB3" s="24"/>
      <c r="CKC3" s="24"/>
      <c r="CKD3" s="24"/>
      <c r="CKE3" s="24"/>
      <c r="CKF3" s="24"/>
      <c r="CKG3" s="24"/>
      <c r="CKH3" s="24"/>
      <c r="CKI3" s="24"/>
      <c r="CKJ3" s="24"/>
      <c r="CKK3" s="24"/>
      <c r="CKL3" s="24"/>
      <c r="CKM3" s="24"/>
      <c r="CKN3" s="24"/>
      <c r="CKO3" s="24"/>
      <c r="CKP3" s="24"/>
      <c r="CKQ3" s="24"/>
      <c r="CKR3" s="24"/>
      <c r="CKS3" s="24"/>
      <c r="CKT3" s="24"/>
      <c r="CKU3" s="24"/>
      <c r="CKV3" s="24"/>
      <c r="CKW3" s="24"/>
      <c r="CKX3" s="24"/>
      <c r="CKY3" s="24"/>
      <c r="CKZ3" s="24"/>
      <c r="CLA3" s="24"/>
      <c r="CLB3" s="24"/>
      <c r="CLC3" s="24"/>
      <c r="CLD3" s="24"/>
      <c r="CLE3" s="24"/>
      <c r="CLF3" s="24"/>
      <c r="CLG3" s="24"/>
      <c r="CLH3" s="24"/>
      <c r="CLI3" s="24"/>
      <c r="CLJ3" s="24"/>
      <c r="CLK3" s="24"/>
      <c r="CLL3" s="24"/>
      <c r="CLM3" s="24"/>
      <c r="CLN3" s="24"/>
      <c r="CLO3" s="24"/>
      <c r="CLP3" s="24"/>
      <c r="CLQ3" s="24"/>
      <c r="CLR3" s="24"/>
      <c r="CLS3" s="24"/>
      <c r="CLT3" s="24"/>
      <c r="CLU3" s="24"/>
      <c r="CLV3" s="24"/>
      <c r="CLW3" s="24"/>
      <c r="CLX3" s="24"/>
      <c r="CLY3" s="24"/>
      <c r="CLZ3" s="24"/>
      <c r="CMA3" s="24"/>
      <c r="CMB3" s="24"/>
      <c r="CMC3" s="24"/>
      <c r="CMD3" s="24"/>
      <c r="CME3" s="24"/>
      <c r="CMF3" s="24"/>
      <c r="CMG3" s="24"/>
      <c r="CMH3" s="24"/>
      <c r="CMI3" s="24"/>
      <c r="CMJ3" s="24"/>
      <c r="CMK3" s="24"/>
      <c r="CML3" s="24"/>
      <c r="CMM3" s="24"/>
      <c r="CMN3" s="24"/>
      <c r="CMO3" s="24"/>
      <c r="CMP3" s="24"/>
      <c r="CMQ3" s="24"/>
      <c r="CMR3" s="24"/>
      <c r="CMS3" s="24"/>
      <c r="CMT3" s="24"/>
      <c r="CMU3" s="24"/>
      <c r="CMV3" s="24"/>
      <c r="CMW3" s="24"/>
      <c r="CMX3" s="24"/>
      <c r="CMY3" s="24"/>
      <c r="CMZ3" s="24"/>
      <c r="CNA3" s="24"/>
      <c r="CNB3" s="24"/>
      <c r="CNC3" s="24"/>
      <c r="CND3" s="24"/>
      <c r="CNE3" s="24"/>
      <c r="CNF3" s="24"/>
      <c r="CNG3" s="24"/>
      <c r="CNH3" s="24"/>
      <c r="CNI3" s="24"/>
      <c r="CNJ3" s="24"/>
      <c r="CNK3" s="24"/>
      <c r="CNL3" s="24"/>
      <c r="CNM3" s="24"/>
      <c r="CNN3" s="24"/>
      <c r="CNO3" s="24"/>
      <c r="CNP3" s="24"/>
      <c r="CNQ3" s="24"/>
      <c r="CNR3" s="24"/>
      <c r="CNS3" s="24"/>
      <c r="CNT3" s="24"/>
      <c r="CNU3" s="24"/>
      <c r="CNV3" s="24"/>
      <c r="CNW3" s="24"/>
      <c r="CNX3" s="24"/>
      <c r="CNY3" s="24"/>
      <c r="CNZ3" s="24"/>
      <c r="COA3" s="24"/>
      <c r="COB3" s="24"/>
      <c r="COC3" s="24"/>
      <c r="COD3" s="24"/>
      <c r="COE3" s="24"/>
      <c r="COF3" s="24"/>
      <c r="COG3" s="24"/>
      <c r="COH3" s="24"/>
      <c r="COI3" s="24"/>
      <c r="COJ3" s="24"/>
      <c r="COK3" s="24"/>
      <c r="COL3" s="24"/>
      <c r="COM3" s="24"/>
      <c r="CON3" s="24"/>
      <c r="COO3" s="24"/>
      <c r="COP3" s="24"/>
      <c r="COQ3" s="24"/>
      <c r="COR3" s="24"/>
      <c r="COS3" s="24"/>
      <c r="COT3" s="24"/>
      <c r="COU3" s="24"/>
      <c r="COV3" s="24"/>
      <c r="COW3" s="24"/>
      <c r="COX3" s="24"/>
      <c r="COY3" s="24"/>
      <c r="COZ3" s="24"/>
      <c r="CPA3" s="24"/>
      <c r="CPB3" s="24"/>
      <c r="CPC3" s="24"/>
      <c r="CPD3" s="24"/>
      <c r="CPE3" s="24"/>
      <c r="CPF3" s="24"/>
      <c r="CPG3" s="24"/>
      <c r="CPH3" s="24"/>
      <c r="CPI3" s="24"/>
      <c r="CPJ3" s="24"/>
      <c r="CPK3" s="24"/>
      <c r="CPL3" s="24"/>
      <c r="CPM3" s="24"/>
      <c r="CPN3" s="24"/>
      <c r="CPO3" s="24"/>
      <c r="CPP3" s="24"/>
      <c r="CPQ3" s="24"/>
      <c r="CPR3" s="24"/>
      <c r="CPS3" s="24"/>
      <c r="CPT3" s="24"/>
      <c r="CPU3" s="24"/>
      <c r="CPV3" s="24"/>
      <c r="CPW3" s="24"/>
      <c r="CPX3" s="24"/>
      <c r="CPY3" s="24"/>
      <c r="CPZ3" s="24"/>
      <c r="CQA3" s="24"/>
      <c r="CQB3" s="24"/>
      <c r="CQC3" s="24"/>
      <c r="CQD3" s="24"/>
      <c r="CQE3" s="24"/>
      <c r="CQF3" s="24"/>
      <c r="CQG3" s="24"/>
      <c r="CQH3" s="24"/>
      <c r="CQI3" s="24"/>
      <c r="CQJ3" s="24"/>
      <c r="CQK3" s="24"/>
      <c r="CQL3" s="24"/>
      <c r="CQM3" s="24"/>
      <c r="CQN3" s="24"/>
      <c r="CQO3" s="24"/>
      <c r="CQP3" s="24"/>
      <c r="CQQ3" s="24"/>
      <c r="CQR3" s="24"/>
      <c r="CQS3" s="24"/>
      <c r="CQT3" s="24"/>
      <c r="CQU3" s="24"/>
      <c r="CQV3" s="24"/>
      <c r="CQW3" s="24"/>
      <c r="CQX3" s="24"/>
      <c r="CQY3" s="24"/>
      <c r="CQZ3" s="24"/>
      <c r="CRA3" s="24"/>
      <c r="CRB3" s="24"/>
      <c r="CRC3" s="24"/>
      <c r="CRD3" s="24"/>
      <c r="CRE3" s="24"/>
      <c r="CRF3" s="24"/>
      <c r="CRG3" s="24"/>
      <c r="CRH3" s="24"/>
      <c r="CRI3" s="24"/>
      <c r="CRJ3" s="24"/>
      <c r="CRK3" s="24"/>
      <c r="CRL3" s="24"/>
      <c r="CRM3" s="24"/>
      <c r="CRN3" s="24"/>
      <c r="CRO3" s="24"/>
      <c r="CRP3" s="24"/>
      <c r="CRQ3" s="24"/>
      <c r="CRR3" s="24"/>
      <c r="CRS3" s="24"/>
      <c r="CRT3" s="24"/>
      <c r="CRU3" s="24"/>
      <c r="CRV3" s="24"/>
      <c r="CRW3" s="24"/>
      <c r="CRX3" s="24"/>
      <c r="CRY3" s="24"/>
      <c r="CRZ3" s="24"/>
      <c r="CSA3" s="24"/>
      <c r="CSB3" s="24"/>
      <c r="CSC3" s="24"/>
      <c r="CSD3" s="24"/>
      <c r="CSE3" s="24"/>
      <c r="CSF3" s="24"/>
      <c r="CSG3" s="24"/>
      <c r="CSH3" s="24"/>
      <c r="CSI3" s="24"/>
      <c r="CSJ3" s="24"/>
      <c r="CSK3" s="24"/>
      <c r="CSL3" s="24"/>
      <c r="CSM3" s="24"/>
      <c r="CSN3" s="24"/>
      <c r="CSO3" s="24"/>
      <c r="CSP3" s="24"/>
      <c r="CSQ3" s="24"/>
      <c r="CSR3" s="24"/>
      <c r="CSS3" s="24"/>
      <c r="CST3" s="24"/>
      <c r="CSU3" s="24"/>
      <c r="CSV3" s="24"/>
      <c r="CSW3" s="24"/>
      <c r="CSX3" s="24"/>
      <c r="CSY3" s="24"/>
      <c r="CSZ3" s="24"/>
      <c r="CTA3" s="24"/>
      <c r="CTB3" s="24"/>
      <c r="CTC3" s="24"/>
      <c r="CTD3" s="24"/>
      <c r="CTE3" s="24"/>
      <c r="CTF3" s="24"/>
      <c r="CTG3" s="24"/>
      <c r="CTH3" s="24"/>
      <c r="CTI3" s="24"/>
      <c r="CTJ3" s="24"/>
      <c r="CTK3" s="24"/>
      <c r="CTL3" s="24"/>
      <c r="CTM3" s="24"/>
      <c r="CTN3" s="24"/>
    </row>
    <row r="4" s="2" customFormat="1" ht="16" customHeight="1" spans="1:1024 1025:2562">
      <c r="A4" s="25"/>
      <c r="B4" s="19"/>
      <c r="C4" s="23"/>
      <c r="D4" s="19"/>
      <c r="E4" s="20"/>
      <c r="F4" s="21"/>
      <c r="G4" s="21"/>
      <c r="H4" s="26"/>
      <c r="I4" s="26"/>
      <c r="J4" s="26"/>
      <c r="K4" s="26"/>
      <c r="L4" s="26"/>
      <c r="M4" s="26"/>
      <c r="N4" s="23"/>
      <c r="O4" s="23"/>
      <c r="P4" s="23"/>
      <c r="Q4" s="23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</row>
    <row r="5" s="3" customFormat="1" ht="35" hidden="1" customHeight="1" spans="1:1024 1025:2562">
      <c r="A5" s="27"/>
      <c r="B5" s="19" t="s">
        <v>19</v>
      </c>
      <c r="C5" s="23"/>
      <c r="D5" s="19"/>
      <c r="E5" s="20">
        <f>E6+E46</f>
        <v>5610645.33</v>
      </c>
      <c r="F5" s="20">
        <f>F6+F46</f>
        <v>1608752.71</v>
      </c>
      <c r="G5" s="20">
        <f>G6+G46</f>
        <v>753285</v>
      </c>
      <c r="H5" s="20">
        <f>H6+H46</f>
        <v>234521</v>
      </c>
      <c r="I5" s="20"/>
      <c r="J5" s="20"/>
      <c r="K5" s="28">
        <f>J5/G5</f>
        <v>0</v>
      </c>
      <c r="L5" s="20"/>
      <c r="M5" s="20"/>
      <c r="N5" s="23"/>
      <c r="O5" s="23"/>
      <c r="P5" s="23"/>
      <c r="Q5" s="23"/>
      <c r="R5" s="29"/>
    </row>
    <row r="6" s="3" customFormat="1" ht="35" hidden="1" customHeight="1" spans="1:1024 1025:2562">
      <c r="A6" s="27"/>
      <c r="B6" s="19" t="s">
        <v>20</v>
      </c>
      <c r="C6" s="23"/>
      <c r="D6" s="19"/>
      <c r="E6" s="20">
        <f>SUM(E7:E45)</f>
        <v>4943645.33</v>
      </c>
      <c r="F6" s="20">
        <f>SUM(F7:F45)</f>
        <v>1608752.71</v>
      </c>
      <c r="G6" s="20">
        <f>SUM(G7:G45)</f>
        <v>717285</v>
      </c>
      <c r="H6" s="20">
        <f>SUM(H7:H45)</f>
        <v>229101</v>
      </c>
      <c r="I6" s="20"/>
      <c r="J6" s="20"/>
      <c r="K6" s="28">
        <f t="shared" ref="K6:K53" si="0">J6/G6</f>
        <v>0</v>
      </c>
      <c r="L6" s="20"/>
      <c r="M6" s="20"/>
      <c r="N6" s="23"/>
      <c r="O6" s="23"/>
      <c r="P6" s="23"/>
      <c r="Q6" s="23"/>
      <c r="R6" s="29"/>
    </row>
    <row r="7" s="1" customFormat="1" ht="67" hidden="1" customHeight="1" spans="1:1024 1025:2562">
      <c r="A7" s="30">
        <v>1</v>
      </c>
      <c r="B7" s="30" t="s">
        <v>21</v>
      </c>
      <c r="C7" s="31" t="s">
        <v>22</v>
      </c>
      <c r="D7" s="31" t="s">
        <v>23</v>
      </c>
      <c r="E7" s="32">
        <v>20000</v>
      </c>
      <c r="F7" s="32">
        <v>2000</v>
      </c>
      <c r="G7" s="32">
        <v>8000</v>
      </c>
      <c r="H7" s="32">
        <v>3400</v>
      </c>
      <c r="I7" s="32"/>
      <c r="J7" s="32"/>
      <c r="K7" s="28">
        <f t="shared" si="0"/>
        <v>0</v>
      </c>
      <c r="L7" s="32" t="s">
        <v>24</v>
      </c>
      <c r="M7" s="32"/>
      <c r="N7" s="31" t="s">
        <v>25</v>
      </c>
      <c r="O7" s="31" t="s">
        <v>26</v>
      </c>
      <c r="P7" s="31" t="s">
        <v>27</v>
      </c>
      <c r="Q7" s="33" t="s">
        <v>28</v>
      </c>
      <c r="R7" s="11" t="s">
        <v>29</v>
      </c>
    </row>
    <row r="8" s="1" customFormat="1" ht="73" hidden="1" customHeight="1" spans="1:1024 1025:2562">
      <c r="A8" s="34">
        <v>2</v>
      </c>
      <c r="B8" s="30" t="s">
        <v>30</v>
      </c>
      <c r="C8" s="31" t="s">
        <v>31</v>
      </c>
      <c r="D8" s="31" t="s">
        <v>32</v>
      </c>
      <c r="E8" s="32">
        <v>124700</v>
      </c>
      <c r="F8" s="32">
        <v>51000</v>
      </c>
      <c r="G8" s="32">
        <v>65000</v>
      </c>
      <c r="H8" s="32">
        <v>21700</v>
      </c>
      <c r="I8" s="32"/>
      <c r="J8" s="32"/>
      <c r="K8" s="28">
        <f t="shared" si="0"/>
        <v>0</v>
      </c>
      <c r="L8" s="32" t="s">
        <v>33</v>
      </c>
      <c r="M8" s="32"/>
      <c r="N8" s="31" t="s">
        <v>34</v>
      </c>
      <c r="O8" s="31" t="s">
        <v>35</v>
      </c>
      <c r="P8" s="31" t="s">
        <v>27</v>
      </c>
      <c r="Q8" s="33" t="s">
        <v>28</v>
      </c>
      <c r="R8" s="11" t="s">
        <v>29</v>
      </c>
    </row>
    <row r="9" s="4" customFormat="1" ht="60" hidden="1" customHeight="1" spans="1:1024 1025:2562">
      <c r="A9" s="30">
        <v>3</v>
      </c>
      <c r="B9" s="30" t="s">
        <v>36</v>
      </c>
      <c r="C9" s="30" t="s">
        <v>31</v>
      </c>
      <c r="D9" s="30" t="s">
        <v>37</v>
      </c>
      <c r="E9" s="35">
        <v>13495</v>
      </c>
      <c r="F9" s="35">
        <v>4250</v>
      </c>
      <c r="G9" s="35">
        <v>5000</v>
      </c>
      <c r="H9" s="35">
        <v>1500</v>
      </c>
      <c r="I9" s="35"/>
      <c r="J9" s="35"/>
      <c r="K9" s="28">
        <f t="shared" si="0"/>
        <v>0</v>
      </c>
      <c r="L9" s="35" t="s">
        <v>38</v>
      </c>
      <c r="M9" s="35"/>
      <c r="N9" s="30" t="s">
        <v>39</v>
      </c>
      <c r="O9" s="30" t="s">
        <v>26</v>
      </c>
      <c r="P9" s="30" t="s">
        <v>27</v>
      </c>
      <c r="Q9" s="30"/>
      <c r="R9" s="5"/>
    </row>
    <row r="10" s="4" customFormat="1" ht="51" hidden="1" customHeight="1" spans="1:1024 1025:2562">
      <c r="A10" s="30">
        <v>4</v>
      </c>
      <c r="B10" s="30" t="s">
        <v>40</v>
      </c>
      <c r="C10" s="30" t="s">
        <v>31</v>
      </c>
      <c r="D10" s="30" t="s">
        <v>41</v>
      </c>
      <c r="E10" s="35">
        <v>63317</v>
      </c>
      <c r="F10" s="35">
        <v>30000</v>
      </c>
      <c r="G10" s="35">
        <v>15000</v>
      </c>
      <c r="H10" s="35">
        <v>5000</v>
      </c>
      <c r="I10" s="35"/>
      <c r="J10" s="35"/>
      <c r="K10" s="28">
        <f t="shared" si="0"/>
        <v>0</v>
      </c>
      <c r="L10" s="35" t="s">
        <v>42</v>
      </c>
      <c r="M10" s="35"/>
      <c r="N10" s="30" t="s">
        <v>43</v>
      </c>
      <c r="O10" s="30" t="s">
        <v>44</v>
      </c>
      <c r="P10" s="30" t="s">
        <v>27</v>
      </c>
      <c r="Q10" s="36"/>
      <c r="R10" s="5"/>
    </row>
    <row r="11" s="5" customFormat="1" ht="87" hidden="1" customHeight="1" spans="1:1024 1025:2562">
      <c r="A11" s="37">
        <v>5</v>
      </c>
      <c r="B11" s="30" t="s">
        <v>45</v>
      </c>
      <c r="C11" s="30" t="s">
        <v>46</v>
      </c>
      <c r="D11" s="30" t="s">
        <v>47</v>
      </c>
      <c r="E11" s="35">
        <v>447498</v>
      </c>
      <c r="F11" s="35">
        <v>50000</v>
      </c>
      <c r="G11" s="35">
        <v>70000</v>
      </c>
      <c r="H11" s="38">
        <v>24455</v>
      </c>
      <c r="I11" s="38">
        <v>3000</v>
      </c>
      <c r="J11" s="38">
        <v>27455</v>
      </c>
      <c r="K11" s="28">
        <f t="shared" si="0"/>
        <v>0.392214285714286</v>
      </c>
      <c r="L11" s="35" t="s">
        <v>48</v>
      </c>
      <c r="M11" s="35" t="s">
        <v>49</v>
      </c>
      <c r="N11" s="30" t="s">
        <v>50</v>
      </c>
      <c r="O11" s="30" t="s">
        <v>51</v>
      </c>
      <c r="P11" s="30" t="s">
        <v>27</v>
      </c>
      <c r="Q11" s="39" t="s">
        <v>52</v>
      </c>
      <c r="R11" s="5" t="s">
        <v>53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</row>
    <row r="12" s="1" customFormat="1" ht="108" hidden="1" customHeight="1" spans="1:1024 1025:2562">
      <c r="A12" s="34">
        <v>6</v>
      </c>
      <c r="B12" s="40" t="s">
        <v>54</v>
      </c>
      <c r="C12" s="31" t="s">
        <v>22</v>
      </c>
      <c r="D12" s="31" t="s">
        <v>55</v>
      </c>
      <c r="E12" s="32">
        <v>170000</v>
      </c>
      <c r="F12" s="32">
        <v>60000</v>
      </c>
      <c r="G12" s="32">
        <v>50000</v>
      </c>
      <c r="H12" s="32">
        <v>14640</v>
      </c>
      <c r="I12" s="32"/>
      <c r="J12" s="32"/>
      <c r="K12" s="28">
        <f t="shared" si="0"/>
        <v>0</v>
      </c>
      <c r="L12" s="32" t="s">
        <v>56</v>
      </c>
      <c r="M12" s="32"/>
      <c r="N12" s="31" t="s">
        <v>57</v>
      </c>
      <c r="O12" s="31" t="s">
        <v>58</v>
      </c>
      <c r="P12" s="31" t="s">
        <v>27</v>
      </c>
      <c r="Q12" s="33" t="s">
        <v>59</v>
      </c>
      <c r="R12" s="11" t="s">
        <v>53</v>
      </c>
    </row>
    <row r="13" s="1" customFormat="1" ht="64" hidden="1" customHeight="1" spans="1:1024 1025:2562">
      <c r="A13" s="34">
        <v>7</v>
      </c>
      <c r="B13" s="40" t="s">
        <v>60</v>
      </c>
      <c r="C13" s="31" t="s">
        <v>61</v>
      </c>
      <c r="D13" s="31" t="s">
        <v>62</v>
      </c>
      <c r="E13" s="32">
        <v>48340</v>
      </c>
      <c r="F13" s="32">
        <v>39528</v>
      </c>
      <c r="G13" s="32">
        <v>8812</v>
      </c>
      <c r="H13" s="32">
        <v>3015</v>
      </c>
      <c r="I13" s="32"/>
      <c r="J13" s="32"/>
      <c r="K13" s="28">
        <f t="shared" si="0"/>
        <v>0</v>
      </c>
      <c r="L13" s="32" t="s">
        <v>63</v>
      </c>
      <c r="M13" s="32"/>
      <c r="N13" s="31" t="s">
        <v>64</v>
      </c>
      <c r="O13" s="31" t="s">
        <v>65</v>
      </c>
      <c r="P13" s="31" t="s">
        <v>27</v>
      </c>
      <c r="Q13" s="31"/>
      <c r="R13" s="11"/>
    </row>
    <row r="14" s="1" customFormat="1" ht="73" hidden="1" customHeight="1" spans="1:1024 1025:2562">
      <c r="A14" s="34">
        <v>8</v>
      </c>
      <c r="B14" s="30" t="s">
        <v>66</v>
      </c>
      <c r="C14" s="31" t="s">
        <v>67</v>
      </c>
      <c r="D14" s="31" t="s">
        <v>68</v>
      </c>
      <c r="E14" s="32">
        <v>38000</v>
      </c>
      <c r="F14" s="32">
        <v>25640</v>
      </c>
      <c r="G14" s="32">
        <v>3000</v>
      </c>
      <c r="H14" s="32">
        <v>1310</v>
      </c>
      <c r="I14" s="32"/>
      <c r="J14" s="32"/>
      <c r="K14" s="28">
        <f t="shared" si="0"/>
        <v>0</v>
      </c>
      <c r="L14" s="32" t="s">
        <v>69</v>
      </c>
      <c r="M14" s="32"/>
      <c r="N14" s="31" t="s">
        <v>70</v>
      </c>
      <c r="O14" s="31" t="s">
        <v>71</v>
      </c>
      <c r="P14" s="31" t="s">
        <v>27</v>
      </c>
      <c r="Q14" s="31"/>
      <c r="R14" s="11"/>
    </row>
    <row r="15" s="4" customFormat="1" ht="61" hidden="1" customHeight="1" spans="1:1024 1025:2562">
      <c r="A15" s="30">
        <v>9</v>
      </c>
      <c r="B15" s="30" t="s">
        <v>72</v>
      </c>
      <c r="C15" s="30" t="s">
        <v>61</v>
      </c>
      <c r="D15" s="30" t="s">
        <v>73</v>
      </c>
      <c r="E15" s="35">
        <v>20000</v>
      </c>
      <c r="F15" s="35">
        <v>16000</v>
      </c>
      <c r="G15" s="35">
        <v>4000</v>
      </c>
      <c r="H15" s="35">
        <v>1300</v>
      </c>
      <c r="I15" s="35"/>
      <c r="J15" s="35"/>
      <c r="K15" s="28">
        <f t="shared" si="0"/>
        <v>0</v>
      </c>
      <c r="L15" s="35" t="s">
        <v>74</v>
      </c>
      <c r="M15" s="35"/>
      <c r="N15" s="30" t="s">
        <v>64</v>
      </c>
      <c r="O15" s="30" t="s">
        <v>26</v>
      </c>
      <c r="P15" s="30" t="s">
        <v>27</v>
      </c>
      <c r="Q15" s="30"/>
      <c r="R15" s="5"/>
    </row>
    <row r="16" s="1" customFormat="1" ht="71" hidden="1" customHeight="1" spans="1:1024 1025:2562">
      <c r="A16" s="34">
        <v>10</v>
      </c>
      <c r="B16" s="30" t="s">
        <v>75</v>
      </c>
      <c r="C16" s="31" t="s">
        <v>76</v>
      </c>
      <c r="D16" s="31" t="s">
        <v>77</v>
      </c>
      <c r="E16" s="32">
        <v>50000</v>
      </c>
      <c r="F16" s="32">
        <v>1000</v>
      </c>
      <c r="G16" s="32">
        <v>1000</v>
      </c>
      <c r="H16" s="32">
        <v>477</v>
      </c>
      <c r="I16" s="32"/>
      <c r="J16" s="32"/>
      <c r="K16" s="28">
        <f t="shared" si="0"/>
        <v>0</v>
      </c>
      <c r="L16" s="32" t="s">
        <v>78</v>
      </c>
      <c r="M16" s="32"/>
      <c r="N16" s="31" t="s">
        <v>79</v>
      </c>
      <c r="O16" s="31" t="s">
        <v>80</v>
      </c>
      <c r="P16" s="31" t="s">
        <v>27</v>
      </c>
      <c r="Q16" s="31"/>
      <c r="R16" s="11"/>
    </row>
    <row r="17" s="4" customFormat="1" ht="65" hidden="1" customHeight="1" spans="1:1024 1025:2562">
      <c r="A17" s="30">
        <v>11</v>
      </c>
      <c r="B17" s="30" t="s">
        <v>81</v>
      </c>
      <c r="C17" s="30" t="s">
        <v>82</v>
      </c>
      <c r="D17" s="30" t="s">
        <v>83</v>
      </c>
      <c r="E17" s="35">
        <v>10725</v>
      </c>
      <c r="F17" s="35">
        <v>1000</v>
      </c>
      <c r="G17" s="35">
        <v>5000</v>
      </c>
      <c r="H17" s="35">
        <v>1652</v>
      </c>
      <c r="I17" s="35"/>
      <c r="J17" s="35"/>
      <c r="K17" s="28">
        <f t="shared" si="0"/>
        <v>0</v>
      </c>
      <c r="L17" s="35" t="s">
        <v>84</v>
      </c>
      <c r="M17" s="35"/>
      <c r="N17" s="30" t="s">
        <v>85</v>
      </c>
      <c r="O17" s="30" t="s">
        <v>86</v>
      </c>
      <c r="P17" s="30" t="s">
        <v>27</v>
      </c>
      <c r="Q17" s="30"/>
      <c r="R17" s="5"/>
    </row>
    <row r="18" s="1" customFormat="1" ht="74" hidden="1" customHeight="1" spans="1:1024 1025:2562">
      <c r="A18" s="41">
        <v>12</v>
      </c>
      <c r="B18" s="30" t="s">
        <v>87</v>
      </c>
      <c r="C18" s="31" t="s">
        <v>82</v>
      </c>
      <c r="D18" s="31" t="s">
        <v>88</v>
      </c>
      <c r="E18" s="32">
        <v>10000</v>
      </c>
      <c r="F18" s="32">
        <v>1000</v>
      </c>
      <c r="G18" s="32">
        <v>4000</v>
      </c>
      <c r="H18" s="32">
        <v>1880</v>
      </c>
      <c r="I18" s="32"/>
      <c r="J18" s="32"/>
      <c r="K18" s="28">
        <f t="shared" si="0"/>
        <v>0</v>
      </c>
      <c r="L18" s="32" t="s">
        <v>89</v>
      </c>
      <c r="M18" s="32"/>
      <c r="N18" s="32" t="s">
        <v>64</v>
      </c>
      <c r="O18" s="32" t="s">
        <v>90</v>
      </c>
      <c r="P18" s="32" t="s">
        <v>27</v>
      </c>
      <c r="Q18" s="32"/>
      <c r="R18" s="11"/>
    </row>
    <row r="19" s="4" customFormat="1" ht="53" hidden="1" customHeight="1" spans="1:1024 1025:2562">
      <c r="A19" s="30">
        <v>13</v>
      </c>
      <c r="B19" s="30" t="s">
        <v>91</v>
      </c>
      <c r="C19" s="30" t="s">
        <v>61</v>
      </c>
      <c r="D19" s="30" t="s">
        <v>92</v>
      </c>
      <c r="E19" s="35">
        <v>56446</v>
      </c>
      <c r="F19" s="35">
        <v>44594</v>
      </c>
      <c r="G19" s="35">
        <v>11852</v>
      </c>
      <c r="H19" s="35">
        <v>3530</v>
      </c>
      <c r="I19" s="35"/>
      <c r="J19" s="35"/>
      <c r="K19" s="28">
        <f t="shared" si="0"/>
        <v>0</v>
      </c>
      <c r="L19" s="35" t="s">
        <v>93</v>
      </c>
      <c r="M19" s="35"/>
      <c r="N19" s="30" t="s">
        <v>64</v>
      </c>
      <c r="O19" s="30" t="s">
        <v>65</v>
      </c>
      <c r="P19" s="30" t="s">
        <v>27</v>
      </c>
      <c r="Q19" s="30"/>
      <c r="R19" s="5"/>
    </row>
    <row r="20" s="5" customFormat="1" ht="90" hidden="1" customHeight="1" spans="1:1024 1025:2562">
      <c r="A20" s="37">
        <v>14</v>
      </c>
      <c r="B20" s="30" t="s">
        <v>94</v>
      </c>
      <c r="C20" s="30" t="s">
        <v>95</v>
      </c>
      <c r="D20" s="30" t="s">
        <v>96</v>
      </c>
      <c r="E20" s="35">
        <v>1850000</v>
      </c>
      <c r="F20" s="35">
        <v>738000</v>
      </c>
      <c r="G20" s="35">
        <v>110000</v>
      </c>
      <c r="H20" s="35">
        <v>47603</v>
      </c>
      <c r="I20" s="35">
        <v>9859</v>
      </c>
      <c r="J20" s="35">
        <v>57462</v>
      </c>
      <c r="K20" s="28">
        <f t="shared" si="0"/>
        <v>0.522381818181818</v>
      </c>
      <c r="L20" s="35" t="s">
        <v>97</v>
      </c>
      <c r="M20" s="35" t="s">
        <v>97</v>
      </c>
      <c r="N20" s="30" t="s">
        <v>98</v>
      </c>
      <c r="O20" s="30" t="s">
        <v>99</v>
      </c>
      <c r="P20" s="30" t="s">
        <v>27</v>
      </c>
      <c r="Q20" s="42" t="s">
        <v>52</v>
      </c>
      <c r="R20" s="11" t="s">
        <v>100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/>
      <c r="AXA20" s="11"/>
      <c r="AXB20" s="11"/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  <c r="BKJ20" s="11"/>
      <c r="BKK20" s="11"/>
      <c r="BKL20" s="11"/>
      <c r="BKM20" s="11"/>
      <c r="BKN20" s="11"/>
      <c r="BKO20" s="11"/>
      <c r="BKP20" s="11"/>
      <c r="BKQ20" s="11"/>
      <c r="BKR20" s="11"/>
      <c r="BKS20" s="11"/>
      <c r="BKT20" s="11"/>
      <c r="BKU20" s="11"/>
      <c r="BKV20" s="11"/>
      <c r="BKW20" s="11"/>
      <c r="BKX20" s="11"/>
      <c r="BKY20" s="11"/>
      <c r="BKZ20" s="11"/>
      <c r="BLA20" s="11"/>
      <c r="BLB20" s="11"/>
      <c r="BLC20" s="11"/>
      <c r="BLD20" s="11"/>
      <c r="BLE20" s="11"/>
      <c r="BLF20" s="11"/>
      <c r="BLG20" s="11"/>
      <c r="BLH20" s="11"/>
      <c r="BLI20" s="11"/>
      <c r="BLJ20" s="11"/>
      <c r="BLK20" s="11"/>
      <c r="BLL20" s="11"/>
      <c r="BLM20" s="11"/>
      <c r="BLN20" s="11"/>
      <c r="BLO20" s="11"/>
      <c r="BLP20" s="11"/>
      <c r="BLQ20" s="11"/>
      <c r="BLR20" s="11"/>
      <c r="BLS20" s="11"/>
      <c r="BLT20" s="11"/>
      <c r="BLU20" s="11"/>
      <c r="BLV20" s="11"/>
      <c r="BLW20" s="11"/>
      <c r="BLX20" s="11"/>
      <c r="BLY20" s="11"/>
      <c r="BLZ20" s="11"/>
      <c r="BMA20" s="11"/>
      <c r="BMB20" s="11"/>
      <c r="BMC20" s="11"/>
      <c r="BMD20" s="11"/>
      <c r="BME20" s="11"/>
      <c r="BMF20" s="11"/>
      <c r="BMG20" s="11"/>
      <c r="BMH20" s="11"/>
      <c r="BMI20" s="11"/>
      <c r="BMJ20" s="11"/>
      <c r="BMK20" s="11"/>
      <c r="BML20" s="11"/>
      <c r="BMM20" s="11"/>
      <c r="BMN20" s="11"/>
      <c r="BMO20" s="11"/>
      <c r="BMP20" s="11"/>
      <c r="BMQ20" s="11"/>
      <c r="BMR20" s="11"/>
      <c r="BMS20" s="11"/>
      <c r="BMT20" s="11"/>
      <c r="BMU20" s="11"/>
      <c r="BMV20" s="11"/>
      <c r="BMW20" s="11"/>
      <c r="BMX20" s="11"/>
      <c r="BMY20" s="11"/>
      <c r="BMZ20" s="11"/>
      <c r="BNA20" s="11"/>
      <c r="BNB20" s="11"/>
      <c r="BNC20" s="11"/>
      <c r="BND20" s="11"/>
      <c r="BNE20" s="11"/>
      <c r="BNF20" s="11"/>
      <c r="BNG20" s="11"/>
      <c r="BNH20" s="11"/>
      <c r="BNI20" s="11"/>
      <c r="BNJ20" s="11"/>
      <c r="BNK20" s="11"/>
      <c r="BNL20" s="11"/>
      <c r="BNM20" s="11"/>
      <c r="BNN20" s="11"/>
      <c r="BNO20" s="11"/>
      <c r="BNP20" s="11"/>
      <c r="BNQ20" s="11"/>
      <c r="BNR20" s="11"/>
      <c r="BNS20" s="11"/>
      <c r="BNT20" s="11"/>
      <c r="BNU20" s="11"/>
      <c r="BNV20" s="11"/>
      <c r="BNW20" s="11"/>
      <c r="BNX20" s="11"/>
      <c r="BNY20" s="11"/>
      <c r="BNZ20" s="11"/>
      <c r="BOA20" s="11"/>
      <c r="BOB20" s="11"/>
      <c r="BOC20" s="11"/>
      <c r="BOD20" s="11"/>
      <c r="BOE20" s="11"/>
      <c r="BOF20" s="11"/>
      <c r="BOG20" s="11"/>
      <c r="BOH20" s="11"/>
      <c r="BOI20" s="11"/>
      <c r="BOJ20" s="11"/>
      <c r="BOK20" s="11"/>
      <c r="BOL20" s="11"/>
      <c r="BOM20" s="11"/>
      <c r="BON20" s="11"/>
      <c r="BOO20" s="11"/>
      <c r="BOP20" s="11"/>
      <c r="BOQ20" s="11"/>
      <c r="BOR20" s="11"/>
      <c r="BOS20" s="11"/>
      <c r="BOT20" s="11"/>
      <c r="BOU20" s="11"/>
      <c r="BOV20" s="11"/>
      <c r="BOW20" s="11"/>
      <c r="BOX20" s="11"/>
      <c r="BOY20" s="11"/>
      <c r="BOZ20" s="11"/>
      <c r="BPA20" s="11"/>
      <c r="BPB20" s="11"/>
      <c r="BPC20" s="11"/>
      <c r="BPD20" s="11"/>
      <c r="BPE20" s="11"/>
      <c r="BPF20" s="11"/>
      <c r="BPG20" s="11"/>
      <c r="BPH20" s="11"/>
      <c r="BPI20" s="11"/>
      <c r="BPJ20" s="11"/>
      <c r="BPK20" s="11"/>
      <c r="BPL20" s="11"/>
      <c r="BPM20" s="11"/>
      <c r="BPN20" s="11"/>
      <c r="BPO20" s="11"/>
      <c r="BPP20" s="11"/>
      <c r="BPQ20" s="11"/>
      <c r="BPR20" s="11"/>
      <c r="BPS20" s="11"/>
      <c r="BPT20" s="11"/>
      <c r="BPU20" s="11"/>
      <c r="BPV20" s="11"/>
      <c r="BPW20" s="11"/>
      <c r="BPX20" s="11"/>
      <c r="BPY20" s="11"/>
      <c r="BPZ20" s="11"/>
      <c r="BQA20" s="11"/>
      <c r="BQB20" s="11"/>
      <c r="BQC20" s="11"/>
      <c r="BQD20" s="11"/>
      <c r="BQE20" s="11"/>
      <c r="BQF20" s="11"/>
      <c r="BQG20" s="11"/>
      <c r="BQH20" s="11"/>
      <c r="BQI20" s="11"/>
      <c r="BQJ20" s="11"/>
      <c r="BQK20" s="11"/>
      <c r="BQL20" s="11"/>
      <c r="BQM20" s="11"/>
      <c r="BQN20" s="11"/>
      <c r="BQO20" s="11"/>
      <c r="BQP20" s="11"/>
      <c r="BQQ20" s="11"/>
      <c r="BQR20" s="11"/>
      <c r="BQS20" s="11"/>
      <c r="BQT20" s="11"/>
      <c r="BQU20" s="11"/>
      <c r="BQV20" s="11"/>
      <c r="BQW20" s="11"/>
      <c r="BQX20" s="11"/>
      <c r="BQY20" s="11"/>
      <c r="BQZ20" s="11"/>
      <c r="BRA20" s="11"/>
      <c r="BRB20" s="11"/>
      <c r="BRC20" s="11"/>
      <c r="BRD20" s="11"/>
      <c r="BRE20" s="11"/>
      <c r="BRF20" s="11"/>
      <c r="BRG20" s="11"/>
      <c r="BRH20" s="11"/>
      <c r="BRI20" s="11"/>
      <c r="BRJ20" s="11"/>
      <c r="BRK20" s="11"/>
      <c r="BRL20" s="11"/>
      <c r="BRM20" s="11"/>
      <c r="BRN20" s="11"/>
      <c r="BRO20" s="11"/>
      <c r="BRP20" s="11"/>
      <c r="BRQ20" s="11"/>
      <c r="BRR20" s="11"/>
      <c r="BRS20" s="11"/>
      <c r="BRT20" s="11"/>
      <c r="BRU20" s="11"/>
      <c r="BRV20" s="11"/>
      <c r="BRW20" s="11"/>
      <c r="BRX20" s="11"/>
      <c r="BRY20" s="11"/>
      <c r="BRZ20" s="11"/>
      <c r="BSA20" s="11"/>
      <c r="BSB20" s="11"/>
      <c r="BSC20" s="11"/>
      <c r="BSD20" s="11"/>
      <c r="BSE20" s="11"/>
      <c r="BSF20" s="11"/>
      <c r="BSG20" s="11"/>
      <c r="BSH20" s="11"/>
      <c r="BSI20" s="11"/>
      <c r="BSJ20" s="11"/>
      <c r="BSK20" s="11"/>
      <c r="BSL20" s="11"/>
      <c r="BSM20" s="11"/>
      <c r="BSN20" s="11"/>
      <c r="BSO20" s="11"/>
      <c r="BSP20" s="11"/>
      <c r="BSQ20" s="11"/>
      <c r="BSR20" s="11"/>
      <c r="BSS20" s="11"/>
      <c r="BST20" s="11"/>
      <c r="BSU20" s="11"/>
      <c r="BSV20" s="11"/>
      <c r="BSW20" s="11"/>
      <c r="BSX20" s="11"/>
      <c r="BSY20" s="11"/>
      <c r="BSZ20" s="11"/>
      <c r="BTA20" s="11"/>
      <c r="BTB20" s="11"/>
      <c r="BTC20" s="11"/>
      <c r="BTD20" s="11"/>
      <c r="BTE20" s="11"/>
      <c r="BTF20" s="11"/>
      <c r="BTG20" s="11"/>
      <c r="BTH20" s="11"/>
      <c r="BTI20" s="11"/>
      <c r="BTJ20" s="11"/>
      <c r="BTK20" s="11"/>
      <c r="BTL20" s="11"/>
      <c r="BTM20" s="11"/>
      <c r="BTN20" s="11"/>
      <c r="BTO20" s="11"/>
      <c r="BTP20" s="11"/>
      <c r="BTQ20" s="11"/>
      <c r="BTR20" s="11"/>
      <c r="BTS20" s="11"/>
      <c r="BTT20" s="11"/>
      <c r="BTU20" s="11"/>
      <c r="BTV20" s="11"/>
      <c r="BTW20" s="11"/>
      <c r="BTX20" s="11"/>
      <c r="BTY20" s="11"/>
      <c r="BTZ20" s="11"/>
      <c r="BUA20" s="11"/>
      <c r="BUB20" s="11"/>
      <c r="BUC20" s="11"/>
      <c r="BUD20" s="11"/>
      <c r="BUE20" s="11"/>
      <c r="BUF20" s="11"/>
      <c r="BUG20" s="11"/>
      <c r="BUH20" s="11"/>
      <c r="BUI20" s="11"/>
      <c r="BUJ20" s="11"/>
      <c r="BUK20" s="11"/>
      <c r="BUL20" s="11"/>
      <c r="BUM20" s="11"/>
      <c r="BUN20" s="11"/>
      <c r="BUO20" s="11"/>
      <c r="BUP20" s="11"/>
      <c r="BUQ20" s="11"/>
      <c r="BUR20" s="11"/>
      <c r="BUS20" s="11"/>
      <c r="BUT20" s="11"/>
      <c r="BUU20" s="11"/>
      <c r="BUV20" s="11"/>
      <c r="BUW20" s="11"/>
      <c r="BUX20" s="11"/>
      <c r="BUY20" s="11"/>
      <c r="BUZ20" s="11"/>
      <c r="BVA20" s="11"/>
      <c r="BVB20" s="11"/>
      <c r="BVC20" s="11"/>
      <c r="BVD20" s="11"/>
      <c r="BVE20" s="11"/>
      <c r="BVF20" s="11"/>
      <c r="BVG20" s="11"/>
      <c r="BVH20" s="11"/>
      <c r="BVI20" s="11"/>
      <c r="BVJ20" s="11"/>
      <c r="BVK20" s="11"/>
      <c r="BVL20" s="11"/>
      <c r="BVM20" s="11"/>
      <c r="BVN20" s="11"/>
      <c r="BVO20" s="11"/>
      <c r="BVP20" s="11"/>
      <c r="BVQ20" s="11"/>
      <c r="BVR20" s="11"/>
      <c r="BVS20" s="11"/>
      <c r="BVT20" s="11"/>
      <c r="BVU20" s="11"/>
      <c r="BVV20" s="11"/>
      <c r="BVW20" s="11"/>
      <c r="BVX20" s="11"/>
      <c r="BVY20" s="11"/>
      <c r="BVZ20" s="11"/>
      <c r="BWA20" s="11"/>
      <c r="BWB20" s="11"/>
      <c r="BWC20" s="11"/>
      <c r="BWD20" s="11"/>
      <c r="BWE20" s="11"/>
      <c r="BWF20" s="11"/>
      <c r="BWG20" s="11"/>
      <c r="BWH20" s="11"/>
      <c r="BWI20" s="11"/>
      <c r="BWJ20" s="11"/>
      <c r="BWK20" s="11"/>
      <c r="BWL20" s="11"/>
      <c r="BWM20" s="11"/>
      <c r="BWN20" s="11"/>
      <c r="BWO20" s="11"/>
      <c r="BWP20" s="11"/>
      <c r="BWQ20" s="11"/>
      <c r="BWR20" s="11"/>
      <c r="BWS20" s="11"/>
      <c r="BWT20" s="11"/>
      <c r="BWU20" s="11"/>
      <c r="BWV20" s="11"/>
      <c r="BWW20" s="11"/>
      <c r="BWX20" s="11"/>
      <c r="BWY20" s="11"/>
      <c r="BWZ20" s="11"/>
      <c r="BXA20" s="11"/>
      <c r="BXB20" s="11"/>
      <c r="BXC20" s="11"/>
      <c r="BXD20" s="11"/>
      <c r="BXE20" s="11"/>
      <c r="BXF20" s="11"/>
      <c r="BXG20" s="11"/>
      <c r="BXH20" s="11"/>
      <c r="BXI20" s="11"/>
      <c r="BXJ20" s="11"/>
      <c r="BXK20" s="11"/>
      <c r="BXL20" s="11"/>
      <c r="BXM20" s="11"/>
      <c r="BXN20" s="11"/>
      <c r="BXO20" s="11"/>
      <c r="BXP20" s="11"/>
      <c r="BXQ20" s="11"/>
      <c r="BXR20" s="11"/>
      <c r="BXS20" s="11"/>
      <c r="BXT20" s="11"/>
      <c r="BXU20" s="11"/>
      <c r="BXV20" s="11"/>
      <c r="BXW20" s="11"/>
      <c r="BXX20" s="11"/>
      <c r="BXY20" s="11"/>
      <c r="BXZ20" s="11"/>
      <c r="BYA20" s="11"/>
      <c r="BYB20" s="11"/>
      <c r="BYC20" s="11"/>
      <c r="BYD20" s="11"/>
      <c r="BYE20" s="11"/>
      <c r="BYF20" s="11"/>
      <c r="BYG20" s="11"/>
      <c r="BYH20" s="11"/>
      <c r="BYI20" s="11"/>
      <c r="BYJ20" s="11"/>
      <c r="BYK20" s="11"/>
      <c r="BYL20" s="11"/>
      <c r="BYM20" s="11"/>
      <c r="BYN20" s="11"/>
      <c r="BYO20" s="11"/>
      <c r="BYP20" s="11"/>
      <c r="BYQ20" s="11"/>
      <c r="BYR20" s="11"/>
      <c r="BYS20" s="11"/>
      <c r="BYT20" s="11"/>
      <c r="BYU20" s="11"/>
      <c r="BYV20" s="11"/>
      <c r="BYW20" s="11"/>
      <c r="BYX20" s="11"/>
      <c r="BYY20" s="11"/>
      <c r="BYZ20" s="11"/>
      <c r="BZA20" s="11"/>
      <c r="BZB20" s="11"/>
      <c r="BZC20" s="11"/>
      <c r="BZD20" s="11"/>
      <c r="BZE20" s="11"/>
      <c r="BZF20" s="11"/>
      <c r="BZG20" s="11"/>
      <c r="BZH20" s="11"/>
      <c r="BZI20" s="11"/>
      <c r="BZJ20" s="11"/>
      <c r="BZK20" s="11"/>
      <c r="BZL20" s="11"/>
      <c r="BZM20" s="11"/>
      <c r="BZN20" s="11"/>
      <c r="BZO20" s="11"/>
      <c r="BZP20" s="11"/>
      <c r="BZQ20" s="11"/>
      <c r="BZR20" s="11"/>
      <c r="BZS20" s="11"/>
      <c r="BZT20" s="11"/>
      <c r="BZU20" s="11"/>
      <c r="BZV20" s="11"/>
      <c r="BZW20" s="11"/>
      <c r="BZX20" s="11"/>
      <c r="BZY20" s="11"/>
      <c r="BZZ20" s="11"/>
      <c r="CAA20" s="11"/>
      <c r="CAB20" s="11"/>
      <c r="CAC20" s="11"/>
      <c r="CAD20" s="11"/>
      <c r="CAE20" s="11"/>
      <c r="CAF20" s="11"/>
      <c r="CAG20" s="11"/>
      <c r="CAH20" s="11"/>
      <c r="CAI20" s="11"/>
      <c r="CAJ20" s="11"/>
      <c r="CAK20" s="11"/>
      <c r="CAL20" s="11"/>
      <c r="CAM20" s="11"/>
      <c r="CAN20" s="11"/>
      <c r="CAO20" s="11"/>
      <c r="CAP20" s="11"/>
      <c r="CAQ20" s="11"/>
      <c r="CAR20" s="11"/>
      <c r="CAS20" s="11"/>
      <c r="CAT20" s="11"/>
      <c r="CAU20" s="11"/>
      <c r="CAV20" s="11"/>
      <c r="CAW20" s="11"/>
      <c r="CAX20" s="11"/>
      <c r="CAY20" s="11"/>
      <c r="CAZ20" s="11"/>
      <c r="CBA20" s="11"/>
      <c r="CBB20" s="11"/>
      <c r="CBC20" s="11"/>
      <c r="CBD20" s="11"/>
      <c r="CBE20" s="11"/>
      <c r="CBF20" s="11"/>
      <c r="CBG20" s="11"/>
      <c r="CBH20" s="11"/>
      <c r="CBI20" s="11"/>
      <c r="CBJ20" s="11"/>
      <c r="CBK20" s="11"/>
      <c r="CBL20" s="11"/>
      <c r="CBM20" s="11"/>
      <c r="CBN20" s="11"/>
      <c r="CBO20" s="11"/>
      <c r="CBP20" s="11"/>
      <c r="CBQ20" s="11"/>
      <c r="CBR20" s="11"/>
      <c r="CBS20" s="11"/>
      <c r="CBT20" s="11"/>
      <c r="CBU20" s="11"/>
      <c r="CBV20" s="11"/>
      <c r="CBW20" s="11"/>
      <c r="CBX20" s="11"/>
      <c r="CBY20" s="11"/>
      <c r="CBZ20" s="11"/>
      <c r="CCA20" s="11"/>
      <c r="CCB20" s="11"/>
      <c r="CCC20" s="11"/>
      <c r="CCD20" s="11"/>
      <c r="CCE20" s="11"/>
      <c r="CCF20" s="11"/>
      <c r="CCG20" s="11"/>
      <c r="CCH20" s="11"/>
      <c r="CCI20" s="11"/>
      <c r="CCJ20" s="11"/>
      <c r="CCK20" s="11"/>
      <c r="CCL20" s="11"/>
      <c r="CCM20" s="11"/>
      <c r="CCN20" s="11"/>
      <c r="CCO20" s="11"/>
      <c r="CCP20" s="11"/>
      <c r="CCQ20" s="11"/>
      <c r="CCR20" s="11"/>
      <c r="CCS20" s="11"/>
      <c r="CCT20" s="11"/>
      <c r="CCU20" s="11"/>
      <c r="CCV20" s="11"/>
      <c r="CCW20" s="11"/>
      <c r="CCX20" s="11"/>
      <c r="CCY20" s="11"/>
      <c r="CCZ20" s="11"/>
      <c r="CDA20" s="11"/>
      <c r="CDB20" s="11"/>
      <c r="CDC20" s="11"/>
      <c r="CDD20" s="11"/>
      <c r="CDE20" s="11"/>
      <c r="CDF20" s="11"/>
      <c r="CDG20" s="11"/>
      <c r="CDH20" s="11"/>
      <c r="CDI20" s="11"/>
      <c r="CDJ20" s="11"/>
      <c r="CDK20" s="11"/>
      <c r="CDL20" s="11"/>
      <c r="CDM20" s="11"/>
      <c r="CDN20" s="11"/>
      <c r="CDO20" s="11"/>
      <c r="CDP20" s="11"/>
      <c r="CDQ20" s="11"/>
      <c r="CDR20" s="11"/>
      <c r="CDS20" s="11"/>
      <c r="CDT20" s="11"/>
      <c r="CDU20" s="11"/>
      <c r="CDV20" s="11"/>
      <c r="CDW20" s="11"/>
      <c r="CDX20" s="11"/>
      <c r="CDY20" s="11"/>
      <c r="CDZ20" s="11"/>
      <c r="CEA20" s="11"/>
      <c r="CEB20" s="11"/>
      <c r="CEC20" s="11"/>
      <c r="CED20" s="11"/>
      <c r="CEE20" s="11"/>
      <c r="CEF20" s="11"/>
      <c r="CEG20" s="11"/>
      <c r="CEH20" s="11"/>
      <c r="CEI20" s="11"/>
      <c r="CEJ20" s="11"/>
      <c r="CEK20" s="11"/>
      <c r="CEL20" s="11"/>
      <c r="CEM20" s="11"/>
      <c r="CEN20" s="11"/>
      <c r="CEO20" s="11"/>
      <c r="CEP20" s="11"/>
      <c r="CEQ20" s="11"/>
      <c r="CER20" s="11"/>
      <c r="CES20" s="11"/>
      <c r="CET20" s="11"/>
      <c r="CEU20" s="11"/>
      <c r="CEV20" s="11"/>
      <c r="CEW20" s="11"/>
      <c r="CEX20" s="11"/>
      <c r="CEY20" s="11"/>
      <c r="CEZ20" s="11"/>
      <c r="CFA20" s="11"/>
      <c r="CFB20" s="11"/>
      <c r="CFC20" s="11"/>
      <c r="CFD20" s="11"/>
      <c r="CFE20" s="11"/>
      <c r="CFF20" s="11"/>
      <c r="CFG20" s="11"/>
      <c r="CFH20" s="11"/>
      <c r="CFI20" s="11"/>
      <c r="CFJ20" s="11"/>
      <c r="CFK20" s="11"/>
      <c r="CFL20" s="11"/>
      <c r="CFM20" s="11"/>
      <c r="CFN20" s="11"/>
      <c r="CFO20" s="11"/>
      <c r="CFP20" s="11"/>
      <c r="CFQ20" s="11"/>
      <c r="CFR20" s="11"/>
      <c r="CFS20" s="11"/>
      <c r="CFT20" s="11"/>
      <c r="CFU20" s="11"/>
      <c r="CFV20" s="11"/>
      <c r="CFW20" s="11"/>
      <c r="CFX20" s="11"/>
      <c r="CFY20" s="11"/>
      <c r="CFZ20" s="11"/>
      <c r="CGA20" s="11"/>
      <c r="CGB20" s="11"/>
      <c r="CGC20" s="11"/>
      <c r="CGD20" s="11"/>
      <c r="CGE20" s="11"/>
      <c r="CGF20" s="11"/>
      <c r="CGG20" s="11"/>
      <c r="CGH20" s="11"/>
      <c r="CGI20" s="11"/>
      <c r="CGJ20" s="11"/>
      <c r="CGK20" s="11"/>
      <c r="CGL20" s="11"/>
      <c r="CGM20" s="11"/>
      <c r="CGN20" s="11"/>
      <c r="CGO20" s="11"/>
      <c r="CGP20" s="11"/>
      <c r="CGQ20" s="11"/>
      <c r="CGR20" s="11"/>
      <c r="CGS20" s="11"/>
      <c r="CGT20" s="11"/>
      <c r="CGU20" s="11"/>
      <c r="CGV20" s="11"/>
      <c r="CGW20" s="11"/>
      <c r="CGX20" s="11"/>
      <c r="CGY20" s="11"/>
      <c r="CGZ20" s="11"/>
      <c r="CHA20" s="11"/>
      <c r="CHB20" s="11"/>
      <c r="CHC20" s="11"/>
      <c r="CHD20" s="11"/>
      <c r="CHE20" s="11"/>
      <c r="CHF20" s="11"/>
      <c r="CHG20" s="11"/>
      <c r="CHH20" s="11"/>
      <c r="CHI20" s="11"/>
      <c r="CHJ20" s="11"/>
      <c r="CHK20" s="11"/>
      <c r="CHL20" s="11"/>
      <c r="CHM20" s="11"/>
      <c r="CHN20" s="11"/>
      <c r="CHO20" s="11"/>
      <c r="CHP20" s="11"/>
      <c r="CHQ20" s="11"/>
      <c r="CHR20" s="11"/>
      <c r="CHS20" s="11"/>
      <c r="CHT20" s="11"/>
      <c r="CHU20" s="11"/>
      <c r="CHV20" s="11"/>
      <c r="CHW20" s="11"/>
      <c r="CHX20" s="11"/>
      <c r="CHY20" s="11"/>
      <c r="CHZ20" s="11"/>
      <c r="CIA20" s="11"/>
      <c r="CIB20" s="11"/>
      <c r="CIC20" s="11"/>
      <c r="CID20" s="11"/>
      <c r="CIE20" s="11"/>
      <c r="CIF20" s="11"/>
      <c r="CIG20" s="11"/>
      <c r="CIH20" s="11"/>
      <c r="CII20" s="11"/>
      <c r="CIJ20" s="11"/>
      <c r="CIK20" s="11"/>
      <c r="CIL20" s="11"/>
      <c r="CIM20" s="11"/>
      <c r="CIN20" s="11"/>
      <c r="CIO20" s="11"/>
      <c r="CIP20" s="11"/>
      <c r="CIQ20" s="11"/>
      <c r="CIR20" s="11"/>
      <c r="CIS20" s="11"/>
      <c r="CIT20" s="11"/>
      <c r="CIU20" s="11"/>
      <c r="CIV20" s="11"/>
      <c r="CIW20" s="11"/>
      <c r="CIX20" s="11"/>
      <c r="CIY20" s="11"/>
      <c r="CIZ20" s="11"/>
      <c r="CJA20" s="11"/>
      <c r="CJB20" s="11"/>
      <c r="CJC20" s="11"/>
      <c r="CJD20" s="11"/>
      <c r="CJE20" s="11"/>
      <c r="CJF20" s="11"/>
      <c r="CJG20" s="11"/>
      <c r="CJH20" s="11"/>
      <c r="CJI20" s="11"/>
      <c r="CJJ20" s="11"/>
      <c r="CJK20" s="11"/>
      <c r="CJL20" s="11"/>
      <c r="CJM20" s="11"/>
      <c r="CJN20" s="11"/>
      <c r="CJO20" s="11"/>
      <c r="CJP20" s="11"/>
      <c r="CJQ20" s="11"/>
      <c r="CJR20" s="11"/>
      <c r="CJS20" s="11"/>
      <c r="CJT20" s="11"/>
      <c r="CJU20" s="11"/>
      <c r="CJV20" s="11"/>
      <c r="CJW20" s="11"/>
      <c r="CJX20" s="11"/>
      <c r="CJY20" s="11"/>
      <c r="CJZ20" s="11"/>
      <c r="CKA20" s="11"/>
      <c r="CKB20" s="11"/>
      <c r="CKC20" s="11"/>
      <c r="CKD20" s="11"/>
      <c r="CKE20" s="11"/>
      <c r="CKF20" s="11"/>
      <c r="CKG20" s="11"/>
      <c r="CKH20" s="11"/>
      <c r="CKI20" s="11"/>
      <c r="CKJ20" s="11"/>
      <c r="CKK20" s="11"/>
      <c r="CKL20" s="11"/>
      <c r="CKM20" s="11"/>
      <c r="CKN20" s="11"/>
      <c r="CKO20" s="11"/>
      <c r="CKP20" s="11"/>
      <c r="CKQ20" s="11"/>
      <c r="CKR20" s="11"/>
      <c r="CKS20" s="11"/>
      <c r="CKT20" s="11"/>
      <c r="CKU20" s="11"/>
      <c r="CKV20" s="11"/>
      <c r="CKW20" s="11"/>
      <c r="CKX20" s="11"/>
      <c r="CKY20" s="11"/>
      <c r="CKZ20" s="11"/>
      <c r="CLA20" s="11"/>
      <c r="CLB20" s="11"/>
      <c r="CLC20" s="11"/>
      <c r="CLD20" s="11"/>
      <c r="CLE20" s="11"/>
      <c r="CLF20" s="11"/>
      <c r="CLG20" s="11"/>
      <c r="CLH20" s="11"/>
      <c r="CLI20" s="11"/>
      <c r="CLJ20" s="11"/>
      <c r="CLK20" s="11"/>
      <c r="CLL20" s="11"/>
      <c r="CLM20" s="11"/>
      <c r="CLN20" s="11"/>
      <c r="CLO20" s="11"/>
      <c r="CLP20" s="11"/>
      <c r="CLQ20" s="11"/>
      <c r="CLR20" s="11"/>
      <c r="CLS20" s="11"/>
      <c r="CLT20" s="11"/>
      <c r="CLU20" s="11"/>
      <c r="CLV20" s="11"/>
      <c r="CLW20" s="11"/>
      <c r="CLX20" s="11"/>
      <c r="CLY20" s="11"/>
      <c r="CLZ20" s="11"/>
      <c r="CMA20" s="11"/>
      <c r="CMB20" s="11"/>
      <c r="CMC20" s="11"/>
      <c r="CMD20" s="11"/>
      <c r="CME20" s="11"/>
      <c r="CMF20" s="11"/>
      <c r="CMG20" s="11"/>
      <c r="CMH20" s="11"/>
      <c r="CMI20" s="11"/>
      <c r="CMJ20" s="11"/>
      <c r="CMK20" s="11"/>
      <c r="CML20" s="11"/>
      <c r="CMM20" s="11"/>
      <c r="CMN20" s="11"/>
      <c r="CMO20" s="11"/>
      <c r="CMP20" s="11"/>
      <c r="CMQ20" s="11"/>
      <c r="CMR20" s="11"/>
      <c r="CMS20" s="11"/>
      <c r="CMT20" s="11"/>
      <c r="CMU20" s="11"/>
      <c r="CMV20" s="11"/>
      <c r="CMW20" s="11"/>
      <c r="CMX20" s="11"/>
      <c r="CMY20" s="11"/>
      <c r="CMZ20" s="11"/>
      <c r="CNA20" s="11"/>
      <c r="CNB20" s="11"/>
      <c r="CNC20" s="11"/>
      <c r="CND20" s="11"/>
      <c r="CNE20" s="11"/>
      <c r="CNF20" s="11"/>
      <c r="CNG20" s="11"/>
      <c r="CNH20" s="11"/>
      <c r="CNI20" s="11"/>
      <c r="CNJ20" s="11"/>
      <c r="CNK20" s="11"/>
      <c r="CNL20" s="11"/>
      <c r="CNM20" s="11"/>
      <c r="CNN20" s="11"/>
      <c r="CNO20" s="11"/>
      <c r="CNP20" s="11"/>
      <c r="CNQ20" s="11"/>
      <c r="CNR20" s="11"/>
      <c r="CNS20" s="11"/>
      <c r="CNT20" s="11"/>
      <c r="CNU20" s="11"/>
      <c r="CNV20" s="11"/>
      <c r="CNW20" s="11"/>
      <c r="CNX20" s="11"/>
      <c r="CNY20" s="11"/>
      <c r="CNZ20" s="11"/>
      <c r="COA20" s="11"/>
      <c r="COB20" s="11"/>
      <c r="COC20" s="11"/>
      <c r="COD20" s="11"/>
      <c r="COE20" s="11"/>
      <c r="COF20" s="11"/>
      <c r="COG20" s="11"/>
      <c r="COH20" s="11"/>
      <c r="COI20" s="11"/>
      <c r="COJ20" s="11"/>
      <c r="COK20" s="11"/>
      <c r="COL20" s="11"/>
      <c r="COM20" s="11"/>
      <c r="CON20" s="11"/>
      <c r="COO20" s="11"/>
      <c r="COP20" s="11"/>
      <c r="COQ20" s="11"/>
      <c r="COR20" s="11"/>
      <c r="COS20" s="11"/>
      <c r="COT20" s="11"/>
      <c r="COU20" s="11"/>
      <c r="COV20" s="11"/>
      <c r="COW20" s="11"/>
      <c r="COX20" s="11"/>
      <c r="COY20" s="11"/>
      <c r="COZ20" s="11"/>
      <c r="CPA20" s="11"/>
      <c r="CPB20" s="11"/>
      <c r="CPC20" s="11"/>
      <c r="CPD20" s="11"/>
      <c r="CPE20" s="11"/>
      <c r="CPF20" s="11"/>
      <c r="CPG20" s="11"/>
      <c r="CPH20" s="11"/>
      <c r="CPI20" s="11"/>
      <c r="CPJ20" s="11"/>
      <c r="CPK20" s="11"/>
      <c r="CPL20" s="11"/>
      <c r="CPM20" s="11"/>
      <c r="CPN20" s="11"/>
      <c r="CPO20" s="11"/>
      <c r="CPP20" s="11"/>
      <c r="CPQ20" s="11"/>
      <c r="CPR20" s="11"/>
      <c r="CPS20" s="11"/>
      <c r="CPT20" s="11"/>
      <c r="CPU20" s="11"/>
      <c r="CPV20" s="11"/>
      <c r="CPW20" s="11"/>
      <c r="CPX20" s="11"/>
      <c r="CPY20" s="11"/>
      <c r="CPZ20" s="11"/>
      <c r="CQA20" s="11"/>
      <c r="CQB20" s="11"/>
      <c r="CQC20" s="11"/>
      <c r="CQD20" s="11"/>
      <c r="CQE20" s="11"/>
      <c r="CQF20" s="11"/>
      <c r="CQG20" s="11"/>
      <c r="CQH20" s="11"/>
      <c r="CQI20" s="11"/>
      <c r="CQJ20" s="11"/>
      <c r="CQK20" s="11"/>
      <c r="CQL20" s="11"/>
      <c r="CQM20" s="11"/>
      <c r="CQN20" s="11"/>
      <c r="CQO20" s="11"/>
      <c r="CQP20" s="11"/>
      <c r="CQQ20" s="11"/>
      <c r="CQR20" s="11"/>
      <c r="CQS20" s="11"/>
      <c r="CQT20" s="11"/>
      <c r="CQU20" s="11"/>
      <c r="CQV20" s="11"/>
      <c r="CQW20" s="11"/>
      <c r="CQX20" s="11"/>
      <c r="CQY20" s="11"/>
      <c r="CQZ20" s="11"/>
      <c r="CRA20" s="11"/>
      <c r="CRB20" s="11"/>
      <c r="CRC20" s="11"/>
      <c r="CRD20" s="11"/>
      <c r="CRE20" s="11"/>
      <c r="CRF20" s="11"/>
      <c r="CRG20" s="11"/>
      <c r="CRH20" s="11"/>
      <c r="CRI20" s="11"/>
      <c r="CRJ20" s="11"/>
      <c r="CRK20" s="11"/>
      <c r="CRL20" s="11"/>
      <c r="CRM20" s="11"/>
      <c r="CRN20" s="11"/>
      <c r="CRO20" s="11"/>
      <c r="CRP20" s="11"/>
      <c r="CRQ20" s="11"/>
      <c r="CRR20" s="11"/>
      <c r="CRS20" s="11"/>
      <c r="CRT20" s="11"/>
      <c r="CRU20" s="11"/>
      <c r="CRV20" s="11"/>
      <c r="CRW20" s="11"/>
      <c r="CRX20" s="11"/>
      <c r="CRY20" s="11"/>
      <c r="CRZ20" s="11"/>
      <c r="CSA20" s="11"/>
      <c r="CSB20" s="11"/>
      <c r="CSC20" s="11"/>
      <c r="CSD20" s="11"/>
      <c r="CSE20" s="11"/>
      <c r="CSF20" s="11"/>
      <c r="CSG20" s="11"/>
      <c r="CSH20" s="11"/>
      <c r="CSI20" s="11"/>
      <c r="CSJ20" s="11"/>
      <c r="CSK20" s="11"/>
      <c r="CSL20" s="11"/>
      <c r="CSM20" s="11"/>
      <c r="CSN20" s="11"/>
      <c r="CSO20" s="11"/>
      <c r="CSP20" s="11"/>
      <c r="CSQ20" s="11"/>
      <c r="CSR20" s="11"/>
      <c r="CSS20" s="11"/>
      <c r="CST20" s="11"/>
      <c r="CSU20" s="11"/>
      <c r="CSV20" s="11"/>
      <c r="CSW20" s="11"/>
      <c r="CSX20" s="11"/>
      <c r="CSY20" s="11"/>
      <c r="CSZ20" s="11"/>
      <c r="CTA20" s="11"/>
      <c r="CTB20" s="11"/>
      <c r="CTC20" s="11"/>
      <c r="CTD20" s="11"/>
      <c r="CTE20" s="11"/>
      <c r="CTF20" s="11"/>
      <c r="CTG20" s="11"/>
      <c r="CTH20" s="11"/>
      <c r="CTI20" s="11"/>
      <c r="CTJ20" s="11"/>
      <c r="CTK20" s="11"/>
      <c r="CTL20" s="1"/>
      <c r="CTM20" s="1"/>
      <c r="CTN20" s="1"/>
    </row>
    <row r="21" s="5" customFormat="1" ht="58" hidden="1" customHeight="1" spans="1:1024 1025:2562">
      <c r="A21" s="30">
        <v>15</v>
      </c>
      <c r="B21" s="30" t="s">
        <v>101</v>
      </c>
      <c r="C21" s="30" t="s">
        <v>22</v>
      </c>
      <c r="D21" s="30" t="s">
        <v>102</v>
      </c>
      <c r="E21" s="35"/>
      <c r="F21" s="35"/>
      <c r="G21" s="35"/>
      <c r="H21" s="35"/>
      <c r="I21" s="35"/>
      <c r="J21" s="35"/>
      <c r="K21" s="28"/>
      <c r="L21" s="35"/>
      <c r="M21" s="35"/>
      <c r="N21" s="30" t="s">
        <v>103</v>
      </c>
      <c r="O21" s="30" t="s">
        <v>104</v>
      </c>
      <c r="P21" s="30" t="s">
        <v>27</v>
      </c>
      <c r="Q21" s="42" t="s">
        <v>52</v>
      </c>
      <c r="R21" s="11" t="s">
        <v>105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  <c r="BME21" s="11"/>
      <c r="BMF21" s="11"/>
      <c r="BMG21" s="11"/>
      <c r="BMH21" s="11"/>
      <c r="BMI21" s="11"/>
      <c r="BMJ21" s="11"/>
      <c r="BMK21" s="11"/>
      <c r="BML21" s="11"/>
      <c r="BMM21" s="11"/>
      <c r="BMN21" s="11"/>
      <c r="BMO21" s="11"/>
      <c r="BMP21" s="11"/>
      <c r="BMQ21" s="11"/>
      <c r="BMR21" s="11"/>
      <c r="BMS21" s="11"/>
      <c r="BMT21" s="11"/>
      <c r="BMU21" s="11"/>
      <c r="BMV21" s="11"/>
      <c r="BMW21" s="11"/>
      <c r="BMX21" s="11"/>
      <c r="BMY21" s="11"/>
      <c r="BMZ21" s="11"/>
      <c r="BNA21" s="11"/>
      <c r="BNB21" s="11"/>
      <c r="BNC21" s="11"/>
      <c r="BND21" s="11"/>
      <c r="BNE21" s="11"/>
      <c r="BNF21" s="11"/>
      <c r="BNG21" s="11"/>
      <c r="BNH21" s="11"/>
      <c r="BNI21" s="11"/>
      <c r="BNJ21" s="11"/>
      <c r="BNK21" s="11"/>
      <c r="BNL21" s="11"/>
      <c r="BNM21" s="11"/>
      <c r="BNN21" s="11"/>
      <c r="BNO21" s="11"/>
      <c r="BNP21" s="11"/>
      <c r="BNQ21" s="11"/>
      <c r="BNR21" s="11"/>
      <c r="BNS21" s="11"/>
      <c r="BNT21" s="11"/>
      <c r="BNU21" s="11"/>
      <c r="BNV21" s="11"/>
      <c r="BNW21" s="11"/>
      <c r="BNX21" s="11"/>
      <c r="BNY21" s="11"/>
      <c r="BNZ21" s="11"/>
      <c r="BOA21" s="11"/>
      <c r="BOB21" s="11"/>
      <c r="BOC21" s="11"/>
      <c r="BOD21" s="11"/>
      <c r="BOE21" s="11"/>
      <c r="BOF21" s="11"/>
      <c r="BOG21" s="11"/>
      <c r="BOH21" s="11"/>
      <c r="BOI21" s="11"/>
      <c r="BOJ21" s="11"/>
      <c r="BOK21" s="11"/>
      <c r="BOL21" s="11"/>
      <c r="BOM21" s="11"/>
      <c r="BON21" s="11"/>
      <c r="BOO21" s="11"/>
      <c r="BOP21" s="11"/>
      <c r="BOQ21" s="11"/>
      <c r="BOR21" s="11"/>
      <c r="BOS21" s="11"/>
      <c r="BOT21" s="11"/>
      <c r="BOU21" s="11"/>
      <c r="BOV21" s="11"/>
      <c r="BOW21" s="11"/>
      <c r="BOX21" s="11"/>
      <c r="BOY21" s="11"/>
      <c r="BOZ21" s="11"/>
      <c r="BPA21" s="11"/>
      <c r="BPB21" s="11"/>
      <c r="BPC21" s="11"/>
      <c r="BPD21" s="11"/>
      <c r="BPE21" s="11"/>
      <c r="BPF21" s="11"/>
      <c r="BPG21" s="11"/>
      <c r="BPH21" s="11"/>
      <c r="BPI21" s="11"/>
      <c r="BPJ21" s="11"/>
      <c r="BPK21" s="11"/>
      <c r="BPL21" s="11"/>
      <c r="BPM21" s="11"/>
      <c r="BPN21" s="11"/>
      <c r="BPO21" s="11"/>
      <c r="BPP21" s="11"/>
      <c r="BPQ21" s="11"/>
      <c r="BPR21" s="11"/>
      <c r="BPS21" s="11"/>
      <c r="BPT21" s="11"/>
      <c r="BPU21" s="11"/>
      <c r="BPV21" s="11"/>
      <c r="BPW21" s="11"/>
      <c r="BPX21" s="11"/>
      <c r="BPY21" s="11"/>
      <c r="BPZ21" s="11"/>
      <c r="BQA21" s="11"/>
      <c r="BQB21" s="11"/>
      <c r="BQC21" s="11"/>
      <c r="BQD21" s="11"/>
      <c r="BQE21" s="11"/>
      <c r="BQF21" s="11"/>
      <c r="BQG21" s="11"/>
      <c r="BQH21" s="11"/>
      <c r="BQI21" s="11"/>
      <c r="BQJ21" s="11"/>
      <c r="BQK21" s="11"/>
      <c r="BQL21" s="11"/>
      <c r="BQM21" s="11"/>
      <c r="BQN21" s="11"/>
      <c r="BQO21" s="11"/>
      <c r="BQP21" s="11"/>
      <c r="BQQ21" s="11"/>
      <c r="BQR21" s="11"/>
      <c r="BQS21" s="11"/>
      <c r="BQT21" s="11"/>
      <c r="BQU21" s="11"/>
      <c r="BQV21" s="11"/>
      <c r="BQW21" s="11"/>
      <c r="BQX21" s="11"/>
      <c r="BQY21" s="11"/>
      <c r="BQZ21" s="11"/>
      <c r="BRA21" s="11"/>
      <c r="BRB21" s="11"/>
      <c r="BRC21" s="11"/>
      <c r="BRD21" s="11"/>
      <c r="BRE21" s="11"/>
      <c r="BRF21" s="11"/>
      <c r="BRG21" s="11"/>
      <c r="BRH21" s="11"/>
      <c r="BRI21" s="11"/>
      <c r="BRJ21" s="11"/>
      <c r="BRK21" s="11"/>
      <c r="BRL21" s="11"/>
      <c r="BRM21" s="11"/>
      <c r="BRN21" s="11"/>
      <c r="BRO21" s="11"/>
      <c r="BRP21" s="11"/>
      <c r="BRQ21" s="11"/>
      <c r="BRR21" s="11"/>
      <c r="BRS21" s="11"/>
      <c r="BRT21" s="11"/>
      <c r="BRU21" s="11"/>
      <c r="BRV21" s="11"/>
      <c r="BRW21" s="11"/>
      <c r="BRX21" s="11"/>
      <c r="BRY21" s="11"/>
      <c r="BRZ21" s="11"/>
      <c r="BSA21" s="11"/>
      <c r="BSB21" s="11"/>
      <c r="BSC21" s="11"/>
      <c r="BSD21" s="11"/>
      <c r="BSE21" s="11"/>
      <c r="BSF21" s="11"/>
      <c r="BSG21" s="11"/>
      <c r="BSH21" s="11"/>
      <c r="BSI21" s="11"/>
      <c r="BSJ21" s="11"/>
      <c r="BSK21" s="11"/>
      <c r="BSL21" s="11"/>
      <c r="BSM21" s="11"/>
      <c r="BSN21" s="11"/>
      <c r="BSO21" s="11"/>
      <c r="BSP21" s="11"/>
      <c r="BSQ21" s="11"/>
      <c r="BSR21" s="11"/>
      <c r="BSS21" s="11"/>
      <c r="BST21" s="11"/>
      <c r="BSU21" s="11"/>
      <c r="BSV21" s="11"/>
      <c r="BSW21" s="11"/>
      <c r="BSX21" s="11"/>
      <c r="BSY21" s="11"/>
      <c r="BSZ21" s="11"/>
      <c r="BTA21" s="11"/>
      <c r="BTB21" s="11"/>
      <c r="BTC21" s="11"/>
      <c r="BTD21" s="11"/>
      <c r="BTE21" s="11"/>
      <c r="BTF21" s="11"/>
      <c r="BTG21" s="11"/>
      <c r="BTH21" s="11"/>
      <c r="BTI21" s="11"/>
      <c r="BTJ21" s="11"/>
      <c r="BTK21" s="11"/>
      <c r="BTL21" s="11"/>
      <c r="BTM21" s="11"/>
      <c r="BTN21" s="11"/>
      <c r="BTO21" s="11"/>
      <c r="BTP21" s="11"/>
      <c r="BTQ21" s="11"/>
      <c r="BTR21" s="11"/>
      <c r="BTS21" s="11"/>
      <c r="BTT21" s="11"/>
      <c r="BTU21" s="11"/>
      <c r="BTV21" s="11"/>
      <c r="BTW21" s="11"/>
      <c r="BTX21" s="11"/>
      <c r="BTY21" s="11"/>
      <c r="BTZ21" s="11"/>
      <c r="BUA21" s="11"/>
      <c r="BUB21" s="11"/>
      <c r="BUC21" s="11"/>
      <c r="BUD21" s="11"/>
      <c r="BUE21" s="11"/>
      <c r="BUF21" s="11"/>
      <c r="BUG21" s="11"/>
      <c r="BUH21" s="11"/>
      <c r="BUI21" s="11"/>
      <c r="BUJ21" s="11"/>
      <c r="BUK21" s="11"/>
      <c r="BUL21" s="11"/>
      <c r="BUM21" s="11"/>
      <c r="BUN21" s="11"/>
      <c r="BUO21" s="11"/>
      <c r="BUP21" s="11"/>
      <c r="BUQ21" s="11"/>
      <c r="BUR21" s="11"/>
      <c r="BUS21" s="11"/>
      <c r="BUT21" s="11"/>
      <c r="BUU21" s="11"/>
      <c r="BUV21" s="11"/>
      <c r="BUW21" s="11"/>
      <c r="BUX21" s="11"/>
      <c r="BUY21" s="11"/>
      <c r="BUZ21" s="11"/>
      <c r="BVA21" s="11"/>
      <c r="BVB21" s="11"/>
      <c r="BVC21" s="11"/>
      <c r="BVD21" s="11"/>
      <c r="BVE21" s="11"/>
      <c r="BVF21" s="11"/>
      <c r="BVG21" s="11"/>
      <c r="BVH21" s="11"/>
      <c r="BVI21" s="11"/>
      <c r="BVJ21" s="11"/>
      <c r="BVK21" s="11"/>
      <c r="BVL21" s="11"/>
      <c r="BVM21" s="11"/>
      <c r="BVN21" s="11"/>
      <c r="BVO21" s="11"/>
      <c r="BVP21" s="11"/>
      <c r="BVQ21" s="11"/>
      <c r="BVR21" s="11"/>
      <c r="BVS21" s="11"/>
      <c r="BVT21" s="11"/>
      <c r="BVU21" s="11"/>
      <c r="BVV21" s="11"/>
      <c r="BVW21" s="11"/>
      <c r="BVX21" s="11"/>
      <c r="BVY21" s="11"/>
      <c r="BVZ21" s="11"/>
      <c r="BWA21" s="11"/>
      <c r="BWB21" s="11"/>
      <c r="BWC21" s="11"/>
      <c r="BWD21" s="11"/>
      <c r="BWE21" s="11"/>
      <c r="BWF21" s="11"/>
      <c r="BWG21" s="11"/>
      <c r="BWH21" s="11"/>
      <c r="BWI21" s="11"/>
      <c r="BWJ21" s="11"/>
      <c r="BWK21" s="11"/>
      <c r="BWL21" s="11"/>
      <c r="BWM21" s="11"/>
      <c r="BWN21" s="11"/>
      <c r="BWO21" s="11"/>
      <c r="BWP21" s="11"/>
      <c r="BWQ21" s="11"/>
      <c r="BWR21" s="11"/>
      <c r="BWS21" s="11"/>
      <c r="BWT21" s="11"/>
      <c r="BWU21" s="11"/>
      <c r="BWV21" s="11"/>
      <c r="BWW21" s="11"/>
      <c r="BWX21" s="11"/>
      <c r="BWY21" s="11"/>
      <c r="BWZ21" s="11"/>
      <c r="BXA21" s="11"/>
      <c r="BXB21" s="11"/>
      <c r="BXC21" s="11"/>
      <c r="BXD21" s="11"/>
      <c r="BXE21" s="11"/>
      <c r="BXF21" s="11"/>
      <c r="BXG21" s="11"/>
      <c r="BXH21" s="11"/>
      <c r="BXI21" s="11"/>
      <c r="BXJ21" s="11"/>
      <c r="BXK21" s="11"/>
      <c r="BXL21" s="11"/>
      <c r="BXM21" s="11"/>
      <c r="BXN21" s="11"/>
      <c r="BXO21" s="11"/>
      <c r="BXP21" s="11"/>
      <c r="BXQ21" s="11"/>
      <c r="BXR21" s="11"/>
      <c r="BXS21" s="11"/>
      <c r="BXT21" s="11"/>
      <c r="BXU21" s="11"/>
      <c r="BXV21" s="11"/>
      <c r="BXW21" s="11"/>
      <c r="BXX21" s="11"/>
      <c r="BXY21" s="11"/>
      <c r="BXZ21" s="11"/>
      <c r="BYA21" s="11"/>
      <c r="BYB21" s="11"/>
      <c r="BYC21" s="11"/>
      <c r="BYD21" s="11"/>
      <c r="BYE21" s="11"/>
      <c r="BYF21" s="11"/>
      <c r="BYG21" s="11"/>
      <c r="BYH21" s="11"/>
      <c r="BYI21" s="11"/>
      <c r="BYJ21" s="11"/>
      <c r="BYK21" s="11"/>
      <c r="BYL21" s="11"/>
      <c r="BYM21" s="11"/>
      <c r="BYN21" s="11"/>
      <c r="BYO21" s="11"/>
      <c r="BYP21" s="11"/>
      <c r="BYQ21" s="11"/>
      <c r="BYR21" s="11"/>
      <c r="BYS21" s="11"/>
      <c r="BYT21" s="11"/>
      <c r="BYU21" s="11"/>
      <c r="BYV21" s="11"/>
      <c r="BYW21" s="11"/>
      <c r="BYX21" s="11"/>
      <c r="BYY21" s="11"/>
      <c r="BYZ21" s="11"/>
      <c r="BZA21" s="11"/>
      <c r="BZB21" s="11"/>
      <c r="BZC21" s="11"/>
      <c r="BZD21" s="11"/>
      <c r="BZE21" s="11"/>
      <c r="BZF21" s="11"/>
      <c r="BZG21" s="11"/>
      <c r="BZH21" s="11"/>
      <c r="BZI21" s="11"/>
      <c r="BZJ21" s="11"/>
      <c r="BZK21" s="11"/>
      <c r="BZL21" s="11"/>
      <c r="BZM21" s="11"/>
      <c r="BZN21" s="11"/>
      <c r="BZO21" s="11"/>
      <c r="BZP21" s="11"/>
      <c r="BZQ21" s="11"/>
      <c r="BZR21" s="11"/>
      <c r="BZS21" s="11"/>
      <c r="BZT21" s="11"/>
      <c r="BZU21" s="11"/>
      <c r="BZV21" s="11"/>
      <c r="BZW21" s="11"/>
      <c r="BZX21" s="11"/>
      <c r="BZY21" s="11"/>
      <c r="BZZ21" s="11"/>
      <c r="CAA21" s="11"/>
      <c r="CAB21" s="11"/>
      <c r="CAC21" s="11"/>
      <c r="CAD21" s="11"/>
      <c r="CAE21" s="11"/>
      <c r="CAF21" s="11"/>
      <c r="CAG21" s="11"/>
      <c r="CAH21" s="11"/>
      <c r="CAI21" s="11"/>
      <c r="CAJ21" s="11"/>
      <c r="CAK21" s="11"/>
      <c r="CAL21" s="11"/>
      <c r="CAM21" s="11"/>
      <c r="CAN21" s="11"/>
      <c r="CAO21" s="11"/>
      <c r="CAP21" s="11"/>
      <c r="CAQ21" s="11"/>
      <c r="CAR21" s="11"/>
      <c r="CAS21" s="11"/>
      <c r="CAT21" s="11"/>
      <c r="CAU21" s="11"/>
      <c r="CAV21" s="11"/>
      <c r="CAW21" s="11"/>
      <c r="CAX21" s="11"/>
      <c r="CAY21" s="11"/>
      <c r="CAZ21" s="11"/>
      <c r="CBA21" s="11"/>
      <c r="CBB21" s="11"/>
      <c r="CBC21" s="11"/>
      <c r="CBD21" s="11"/>
      <c r="CBE21" s="11"/>
      <c r="CBF21" s="11"/>
      <c r="CBG21" s="11"/>
      <c r="CBH21" s="11"/>
      <c r="CBI21" s="11"/>
      <c r="CBJ21" s="11"/>
      <c r="CBK21" s="11"/>
      <c r="CBL21" s="11"/>
      <c r="CBM21" s="11"/>
      <c r="CBN21" s="11"/>
      <c r="CBO21" s="11"/>
      <c r="CBP21" s="11"/>
      <c r="CBQ21" s="11"/>
      <c r="CBR21" s="11"/>
      <c r="CBS21" s="11"/>
      <c r="CBT21" s="11"/>
      <c r="CBU21" s="11"/>
      <c r="CBV21" s="11"/>
      <c r="CBW21" s="11"/>
      <c r="CBX21" s="11"/>
      <c r="CBY21" s="11"/>
      <c r="CBZ21" s="11"/>
      <c r="CCA21" s="11"/>
      <c r="CCB21" s="11"/>
      <c r="CCC21" s="11"/>
      <c r="CCD21" s="11"/>
      <c r="CCE21" s="11"/>
      <c r="CCF21" s="11"/>
      <c r="CCG21" s="11"/>
      <c r="CCH21" s="11"/>
      <c r="CCI21" s="11"/>
      <c r="CCJ21" s="11"/>
      <c r="CCK21" s="11"/>
      <c r="CCL21" s="11"/>
      <c r="CCM21" s="11"/>
      <c r="CCN21" s="11"/>
      <c r="CCO21" s="11"/>
      <c r="CCP21" s="11"/>
      <c r="CCQ21" s="11"/>
      <c r="CCR21" s="11"/>
      <c r="CCS21" s="11"/>
      <c r="CCT21" s="11"/>
      <c r="CCU21" s="11"/>
      <c r="CCV21" s="11"/>
      <c r="CCW21" s="11"/>
      <c r="CCX21" s="11"/>
      <c r="CCY21" s="11"/>
      <c r="CCZ21" s="11"/>
      <c r="CDA21" s="11"/>
      <c r="CDB21" s="11"/>
      <c r="CDC21" s="11"/>
      <c r="CDD21" s="11"/>
      <c r="CDE21" s="11"/>
      <c r="CDF21" s="11"/>
      <c r="CDG21" s="11"/>
      <c r="CDH21" s="11"/>
      <c r="CDI21" s="11"/>
      <c r="CDJ21" s="11"/>
      <c r="CDK21" s="11"/>
      <c r="CDL21" s="11"/>
      <c r="CDM21" s="11"/>
      <c r="CDN21" s="11"/>
      <c r="CDO21" s="11"/>
      <c r="CDP21" s="11"/>
      <c r="CDQ21" s="11"/>
      <c r="CDR21" s="11"/>
      <c r="CDS21" s="11"/>
      <c r="CDT21" s="11"/>
      <c r="CDU21" s="11"/>
      <c r="CDV21" s="11"/>
      <c r="CDW21" s="11"/>
      <c r="CDX21" s="11"/>
      <c r="CDY21" s="11"/>
      <c r="CDZ21" s="11"/>
      <c r="CEA21" s="11"/>
      <c r="CEB21" s="11"/>
      <c r="CEC21" s="11"/>
      <c r="CED21" s="11"/>
      <c r="CEE21" s="11"/>
      <c r="CEF21" s="11"/>
      <c r="CEG21" s="11"/>
      <c r="CEH21" s="11"/>
      <c r="CEI21" s="11"/>
      <c r="CEJ21" s="11"/>
      <c r="CEK21" s="11"/>
      <c r="CEL21" s="11"/>
      <c r="CEM21" s="11"/>
      <c r="CEN21" s="11"/>
      <c r="CEO21" s="11"/>
      <c r="CEP21" s="11"/>
      <c r="CEQ21" s="11"/>
      <c r="CER21" s="11"/>
      <c r="CES21" s="11"/>
      <c r="CET21" s="11"/>
      <c r="CEU21" s="11"/>
      <c r="CEV21" s="11"/>
      <c r="CEW21" s="11"/>
      <c r="CEX21" s="11"/>
      <c r="CEY21" s="11"/>
      <c r="CEZ21" s="11"/>
      <c r="CFA21" s="11"/>
      <c r="CFB21" s="11"/>
      <c r="CFC21" s="11"/>
      <c r="CFD21" s="11"/>
      <c r="CFE21" s="11"/>
      <c r="CFF21" s="11"/>
      <c r="CFG21" s="11"/>
      <c r="CFH21" s="11"/>
      <c r="CFI21" s="11"/>
      <c r="CFJ21" s="11"/>
      <c r="CFK21" s="11"/>
      <c r="CFL21" s="11"/>
      <c r="CFM21" s="11"/>
      <c r="CFN21" s="11"/>
      <c r="CFO21" s="11"/>
      <c r="CFP21" s="11"/>
      <c r="CFQ21" s="11"/>
      <c r="CFR21" s="11"/>
      <c r="CFS21" s="11"/>
      <c r="CFT21" s="11"/>
      <c r="CFU21" s="11"/>
      <c r="CFV21" s="11"/>
      <c r="CFW21" s="11"/>
      <c r="CFX21" s="11"/>
      <c r="CFY21" s="11"/>
      <c r="CFZ21" s="11"/>
      <c r="CGA21" s="11"/>
      <c r="CGB21" s="11"/>
      <c r="CGC21" s="11"/>
      <c r="CGD21" s="11"/>
      <c r="CGE21" s="11"/>
      <c r="CGF21" s="11"/>
      <c r="CGG21" s="11"/>
      <c r="CGH21" s="11"/>
      <c r="CGI21" s="11"/>
      <c r="CGJ21" s="11"/>
      <c r="CGK21" s="11"/>
      <c r="CGL21" s="11"/>
      <c r="CGM21" s="11"/>
      <c r="CGN21" s="11"/>
      <c r="CGO21" s="11"/>
      <c r="CGP21" s="11"/>
      <c r="CGQ21" s="11"/>
      <c r="CGR21" s="11"/>
      <c r="CGS21" s="11"/>
      <c r="CGT21" s="11"/>
      <c r="CGU21" s="11"/>
      <c r="CGV21" s="11"/>
      <c r="CGW21" s="11"/>
      <c r="CGX21" s="11"/>
      <c r="CGY21" s="11"/>
      <c r="CGZ21" s="11"/>
      <c r="CHA21" s="11"/>
      <c r="CHB21" s="11"/>
      <c r="CHC21" s="11"/>
      <c r="CHD21" s="11"/>
      <c r="CHE21" s="11"/>
      <c r="CHF21" s="11"/>
      <c r="CHG21" s="11"/>
      <c r="CHH21" s="11"/>
      <c r="CHI21" s="11"/>
      <c r="CHJ21" s="11"/>
      <c r="CHK21" s="11"/>
      <c r="CHL21" s="11"/>
      <c r="CHM21" s="11"/>
      <c r="CHN21" s="11"/>
      <c r="CHO21" s="11"/>
      <c r="CHP21" s="11"/>
      <c r="CHQ21" s="11"/>
      <c r="CHR21" s="11"/>
      <c r="CHS21" s="11"/>
      <c r="CHT21" s="11"/>
      <c r="CHU21" s="11"/>
      <c r="CHV21" s="11"/>
      <c r="CHW21" s="11"/>
      <c r="CHX21" s="11"/>
      <c r="CHY21" s="11"/>
      <c r="CHZ21" s="11"/>
      <c r="CIA21" s="11"/>
      <c r="CIB21" s="11"/>
      <c r="CIC21" s="11"/>
      <c r="CID21" s="11"/>
      <c r="CIE21" s="11"/>
      <c r="CIF21" s="11"/>
      <c r="CIG21" s="11"/>
      <c r="CIH21" s="11"/>
      <c r="CII21" s="11"/>
      <c r="CIJ21" s="11"/>
      <c r="CIK21" s="11"/>
      <c r="CIL21" s="11"/>
      <c r="CIM21" s="11"/>
      <c r="CIN21" s="11"/>
      <c r="CIO21" s="11"/>
      <c r="CIP21" s="11"/>
      <c r="CIQ21" s="11"/>
      <c r="CIR21" s="11"/>
      <c r="CIS21" s="11"/>
      <c r="CIT21" s="11"/>
      <c r="CIU21" s="11"/>
      <c r="CIV21" s="11"/>
      <c r="CIW21" s="11"/>
      <c r="CIX21" s="11"/>
      <c r="CIY21" s="11"/>
      <c r="CIZ21" s="11"/>
      <c r="CJA21" s="11"/>
      <c r="CJB21" s="11"/>
      <c r="CJC21" s="11"/>
      <c r="CJD21" s="11"/>
      <c r="CJE21" s="11"/>
      <c r="CJF21" s="11"/>
      <c r="CJG21" s="11"/>
      <c r="CJH21" s="11"/>
      <c r="CJI21" s="11"/>
      <c r="CJJ21" s="11"/>
      <c r="CJK21" s="11"/>
      <c r="CJL21" s="11"/>
      <c r="CJM21" s="11"/>
      <c r="CJN21" s="11"/>
      <c r="CJO21" s="11"/>
      <c r="CJP21" s="11"/>
      <c r="CJQ21" s="11"/>
      <c r="CJR21" s="11"/>
      <c r="CJS21" s="11"/>
      <c r="CJT21" s="11"/>
      <c r="CJU21" s="11"/>
      <c r="CJV21" s="11"/>
      <c r="CJW21" s="11"/>
      <c r="CJX21" s="11"/>
      <c r="CJY21" s="11"/>
      <c r="CJZ21" s="11"/>
      <c r="CKA21" s="11"/>
      <c r="CKB21" s="11"/>
      <c r="CKC21" s="11"/>
      <c r="CKD21" s="11"/>
      <c r="CKE21" s="11"/>
      <c r="CKF21" s="11"/>
      <c r="CKG21" s="11"/>
      <c r="CKH21" s="11"/>
      <c r="CKI21" s="11"/>
      <c r="CKJ21" s="11"/>
      <c r="CKK21" s="11"/>
      <c r="CKL21" s="11"/>
      <c r="CKM21" s="11"/>
      <c r="CKN21" s="11"/>
      <c r="CKO21" s="11"/>
      <c r="CKP21" s="11"/>
      <c r="CKQ21" s="11"/>
      <c r="CKR21" s="11"/>
      <c r="CKS21" s="11"/>
      <c r="CKT21" s="11"/>
      <c r="CKU21" s="11"/>
      <c r="CKV21" s="11"/>
      <c r="CKW21" s="11"/>
      <c r="CKX21" s="11"/>
      <c r="CKY21" s="11"/>
      <c r="CKZ21" s="11"/>
      <c r="CLA21" s="11"/>
      <c r="CLB21" s="11"/>
      <c r="CLC21" s="11"/>
      <c r="CLD21" s="11"/>
      <c r="CLE21" s="11"/>
      <c r="CLF21" s="11"/>
      <c r="CLG21" s="11"/>
      <c r="CLH21" s="11"/>
      <c r="CLI21" s="11"/>
      <c r="CLJ21" s="11"/>
      <c r="CLK21" s="11"/>
      <c r="CLL21" s="11"/>
      <c r="CLM21" s="11"/>
      <c r="CLN21" s="11"/>
      <c r="CLO21" s="11"/>
      <c r="CLP21" s="11"/>
      <c r="CLQ21" s="11"/>
      <c r="CLR21" s="11"/>
      <c r="CLS21" s="11"/>
      <c r="CLT21" s="11"/>
      <c r="CLU21" s="11"/>
      <c r="CLV21" s="11"/>
      <c r="CLW21" s="11"/>
      <c r="CLX21" s="11"/>
      <c r="CLY21" s="11"/>
      <c r="CLZ21" s="11"/>
      <c r="CMA21" s="11"/>
      <c r="CMB21" s="11"/>
      <c r="CMC21" s="11"/>
      <c r="CMD21" s="11"/>
      <c r="CME21" s="11"/>
      <c r="CMF21" s="11"/>
      <c r="CMG21" s="11"/>
      <c r="CMH21" s="11"/>
      <c r="CMI21" s="11"/>
      <c r="CMJ21" s="11"/>
      <c r="CMK21" s="11"/>
      <c r="CML21" s="11"/>
      <c r="CMM21" s="11"/>
      <c r="CMN21" s="11"/>
      <c r="CMO21" s="11"/>
      <c r="CMP21" s="11"/>
      <c r="CMQ21" s="11"/>
      <c r="CMR21" s="11"/>
      <c r="CMS21" s="11"/>
      <c r="CMT21" s="11"/>
      <c r="CMU21" s="11"/>
      <c r="CMV21" s="11"/>
      <c r="CMW21" s="11"/>
      <c r="CMX21" s="11"/>
      <c r="CMY21" s="11"/>
      <c r="CMZ21" s="11"/>
      <c r="CNA21" s="11"/>
      <c r="CNB21" s="11"/>
      <c r="CNC21" s="11"/>
      <c r="CND21" s="11"/>
      <c r="CNE21" s="11"/>
      <c r="CNF21" s="11"/>
      <c r="CNG21" s="11"/>
      <c r="CNH21" s="11"/>
      <c r="CNI21" s="11"/>
      <c r="CNJ21" s="11"/>
      <c r="CNK21" s="11"/>
      <c r="CNL21" s="11"/>
      <c r="CNM21" s="11"/>
      <c r="CNN21" s="11"/>
      <c r="CNO21" s="11"/>
      <c r="CNP21" s="11"/>
      <c r="CNQ21" s="11"/>
      <c r="CNR21" s="11"/>
      <c r="CNS21" s="11"/>
      <c r="CNT21" s="11"/>
      <c r="CNU21" s="11"/>
      <c r="CNV21" s="11"/>
      <c r="CNW21" s="11"/>
      <c r="CNX21" s="11"/>
      <c r="CNY21" s="11"/>
      <c r="CNZ21" s="11"/>
      <c r="COA21" s="11"/>
      <c r="COB21" s="11"/>
      <c r="COC21" s="11"/>
      <c r="COD21" s="11"/>
      <c r="COE21" s="11"/>
      <c r="COF21" s="11"/>
      <c r="COG21" s="11"/>
      <c r="COH21" s="11"/>
      <c r="COI21" s="11"/>
      <c r="COJ21" s="11"/>
      <c r="COK21" s="11"/>
      <c r="COL21" s="11"/>
      <c r="COM21" s="11"/>
      <c r="CON21" s="11"/>
      <c r="COO21" s="11"/>
      <c r="COP21" s="11"/>
      <c r="COQ21" s="11"/>
      <c r="COR21" s="11"/>
      <c r="COS21" s="11"/>
      <c r="COT21" s="11"/>
      <c r="COU21" s="11"/>
      <c r="COV21" s="11"/>
      <c r="COW21" s="11"/>
      <c r="COX21" s="11"/>
      <c r="COY21" s="11"/>
      <c r="COZ21" s="11"/>
      <c r="CPA21" s="11"/>
      <c r="CPB21" s="11"/>
      <c r="CPC21" s="11"/>
      <c r="CPD21" s="11"/>
      <c r="CPE21" s="11"/>
      <c r="CPF21" s="11"/>
      <c r="CPG21" s="11"/>
      <c r="CPH21" s="11"/>
      <c r="CPI21" s="11"/>
      <c r="CPJ21" s="11"/>
      <c r="CPK21" s="11"/>
      <c r="CPL21" s="11"/>
      <c r="CPM21" s="11"/>
      <c r="CPN21" s="11"/>
      <c r="CPO21" s="11"/>
      <c r="CPP21" s="11"/>
      <c r="CPQ21" s="11"/>
      <c r="CPR21" s="11"/>
      <c r="CPS21" s="11"/>
      <c r="CPT21" s="11"/>
      <c r="CPU21" s="11"/>
      <c r="CPV21" s="11"/>
      <c r="CPW21" s="11"/>
      <c r="CPX21" s="11"/>
      <c r="CPY21" s="11"/>
      <c r="CPZ21" s="11"/>
      <c r="CQA21" s="11"/>
      <c r="CQB21" s="11"/>
      <c r="CQC21" s="11"/>
      <c r="CQD21" s="11"/>
      <c r="CQE21" s="11"/>
      <c r="CQF21" s="11"/>
      <c r="CQG21" s="11"/>
      <c r="CQH21" s="11"/>
      <c r="CQI21" s="11"/>
      <c r="CQJ21" s="11"/>
      <c r="CQK21" s="11"/>
      <c r="CQL21" s="11"/>
      <c r="CQM21" s="11"/>
      <c r="CQN21" s="11"/>
      <c r="CQO21" s="11"/>
      <c r="CQP21" s="11"/>
      <c r="CQQ21" s="11"/>
      <c r="CQR21" s="11"/>
      <c r="CQS21" s="11"/>
      <c r="CQT21" s="11"/>
      <c r="CQU21" s="11"/>
      <c r="CQV21" s="11"/>
      <c r="CQW21" s="11"/>
      <c r="CQX21" s="11"/>
      <c r="CQY21" s="11"/>
      <c r="CQZ21" s="11"/>
      <c r="CRA21" s="11"/>
      <c r="CRB21" s="11"/>
      <c r="CRC21" s="11"/>
      <c r="CRD21" s="11"/>
      <c r="CRE21" s="11"/>
      <c r="CRF21" s="11"/>
      <c r="CRG21" s="11"/>
      <c r="CRH21" s="11"/>
      <c r="CRI21" s="11"/>
      <c r="CRJ21" s="11"/>
      <c r="CRK21" s="11"/>
      <c r="CRL21" s="11"/>
      <c r="CRM21" s="11"/>
      <c r="CRN21" s="11"/>
      <c r="CRO21" s="11"/>
      <c r="CRP21" s="11"/>
      <c r="CRQ21" s="11"/>
      <c r="CRR21" s="11"/>
      <c r="CRS21" s="11"/>
      <c r="CRT21" s="11"/>
      <c r="CRU21" s="11"/>
      <c r="CRV21" s="11"/>
      <c r="CRW21" s="11"/>
      <c r="CRX21" s="11"/>
      <c r="CRY21" s="11"/>
      <c r="CRZ21" s="11"/>
      <c r="CSA21" s="11"/>
      <c r="CSB21" s="11"/>
      <c r="CSC21" s="11"/>
      <c r="CSD21" s="11"/>
      <c r="CSE21" s="11"/>
      <c r="CSF21" s="11"/>
      <c r="CSG21" s="11"/>
      <c r="CSH21" s="11"/>
      <c r="CSI21" s="11"/>
      <c r="CSJ21" s="11"/>
      <c r="CSK21" s="11"/>
      <c r="CSL21" s="11"/>
      <c r="CSM21" s="11"/>
      <c r="CSN21" s="11"/>
      <c r="CSO21" s="11"/>
      <c r="CSP21" s="11"/>
      <c r="CSQ21" s="11"/>
      <c r="CSR21" s="11"/>
      <c r="CSS21" s="11"/>
      <c r="CST21" s="11"/>
      <c r="CSU21" s="11"/>
      <c r="CSV21" s="11"/>
      <c r="CSW21" s="11"/>
      <c r="CSX21" s="11"/>
      <c r="CSY21" s="11"/>
      <c r="CSZ21" s="11"/>
      <c r="CTA21" s="11"/>
      <c r="CTB21" s="11"/>
      <c r="CTC21" s="11"/>
      <c r="CTD21" s="11"/>
      <c r="CTE21" s="11"/>
      <c r="CTF21" s="11"/>
      <c r="CTG21" s="11"/>
      <c r="CTH21" s="11"/>
      <c r="CTI21" s="11"/>
      <c r="CTJ21" s="11"/>
      <c r="CTK21" s="11"/>
      <c r="CTL21" s="1"/>
      <c r="CTM21" s="1"/>
      <c r="CTN21" s="1"/>
    </row>
    <row r="22" s="5" customFormat="1" ht="64" hidden="1" customHeight="1" spans="1:1024 1025:2562">
      <c r="A22" s="37" t="s">
        <v>106</v>
      </c>
      <c r="B22" s="30" t="s">
        <v>107</v>
      </c>
      <c r="C22" s="30" t="s">
        <v>22</v>
      </c>
      <c r="D22" s="30" t="s">
        <v>108</v>
      </c>
      <c r="E22" s="35">
        <v>300000</v>
      </c>
      <c r="F22" s="35">
        <v>70000</v>
      </c>
      <c r="G22" s="35">
        <v>5000</v>
      </c>
      <c r="H22" s="35">
        <v>2395</v>
      </c>
      <c r="I22" s="35">
        <v>400</v>
      </c>
      <c r="J22" s="35">
        <v>2795</v>
      </c>
      <c r="K22" s="28">
        <f t="shared" si="0"/>
        <v>0.559</v>
      </c>
      <c r="L22" s="35" t="s">
        <v>109</v>
      </c>
      <c r="M22" s="35" t="s">
        <v>109</v>
      </c>
      <c r="N22" s="30" t="s">
        <v>110</v>
      </c>
      <c r="O22" s="30" t="s">
        <v>111</v>
      </c>
      <c r="P22" s="30" t="s">
        <v>27</v>
      </c>
      <c r="Q22" s="30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/>
      <c r="AQW22" s="11"/>
      <c r="AQX22" s="11"/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/>
      <c r="ASJ22" s="11"/>
      <c r="ASK22" s="11"/>
      <c r="ASL22" s="11"/>
      <c r="ASM22" s="11"/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/>
      <c r="ATF22" s="11"/>
      <c r="ATG22" s="11"/>
      <c r="ATH22" s="11"/>
      <c r="ATI22" s="11"/>
      <c r="ATJ22" s="11"/>
      <c r="ATK22" s="11"/>
      <c r="ATL22" s="11"/>
      <c r="ATM22" s="11"/>
      <c r="ATN22" s="11"/>
      <c r="ATO22" s="11"/>
      <c r="ATP22" s="11"/>
      <c r="ATQ22" s="11"/>
      <c r="ATR22" s="11"/>
      <c r="ATS22" s="11"/>
      <c r="ATT22" s="11"/>
      <c r="ATU22" s="11"/>
      <c r="ATV22" s="11"/>
      <c r="ATW22" s="11"/>
      <c r="ATX22" s="11"/>
      <c r="ATY22" s="11"/>
      <c r="ATZ22" s="11"/>
      <c r="AUA22" s="11"/>
      <c r="AUB22" s="11"/>
      <c r="AUC22" s="11"/>
      <c r="AUD22" s="11"/>
      <c r="AUE22" s="11"/>
      <c r="AUF22" s="11"/>
      <c r="AUG22" s="11"/>
      <c r="AUH22" s="11"/>
      <c r="AUI22" s="11"/>
      <c r="AUJ22" s="11"/>
      <c r="AUK22" s="11"/>
      <c r="AUL22" s="11"/>
      <c r="AUM22" s="11"/>
      <c r="AUN22" s="11"/>
      <c r="AUO22" s="11"/>
      <c r="AUP22" s="11"/>
      <c r="AUQ22" s="11"/>
      <c r="AUR22" s="11"/>
      <c r="AUS22" s="11"/>
      <c r="AUT22" s="11"/>
      <c r="AUU22" s="11"/>
      <c r="AUV22" s="11"/>
      <c r="AUW22" s="11"/>
      <c r="AUX22" s="11"/>
      <c r="AUY22" s="11"/>
      <c r="AUZ22" s="11"/>
      <c r="AVA22" s="11"/>
      <c r="AVB22" s="11"/>
      <c r="AVC22" s="11"/>
      <c r="AVD22" s="11"/>
      <c r="AVE22" s="11"/>
      <c r="AVF22" s="11"/>
      <c r="AVG22" s="11"/>
      <c r="AVH22" s="11"/>
      <c r="AVI22" s="11"/>
      <c r="AVJ22" s="11"/>
      <c r="AVK22" s="11"/>
      <c r="AVL22" s="11"/>
      <c r="AVM22" s="11"/>
      <c r="AVN22" s="11"/>
      <c r="AVO22" s="11"/>
      <c r="AVP22" s="11"/>
      <c r="AVQ22" s="11"/>
      <c r="AVR22" s="11"/>
      <c r="AVS22" s="11"/>
      <c r="AVT22" s="11"/>
      <c r="AVU22" s="11"/>
      <c r="AVV22" s="11"/>
      <c r="AVW22" s="11"/>
      <c r="AVX22" s="11"/>
      <c r="AVY22" s="11"/>
      <c r="AVZ22" s="11"/>
      <c r="AWA22" s="11"/>
      <c r="AWB22" s="11"/>
      <c r="AWC22" s="11"/>
      <c r="AWD22" s="11"/>
      <c r="AWE22" s="11"/>
      <c r="AWF22" s="11"/>
      <c r="AWG22" s="11"/>
      <c r="AWH22" s="11"/>
      <c r="AWI22" s="11"/>
      <c r="AWJ22" s="11"/>
      <c r="AWK22" s="11"/>
      <c r="AWL22" s="11"/>
      <c r="AWM22" s="11"/>
      <c r="AWN22" s="11"/>
      <c r="AWO22" s="11"/>
      <c r="AWP22" s="11"/>
      <c r="AWQ22" s="11"/>
      <c r="AWR22" s="11"/>
      <c r="AWS22" s="11"/>
      <c r="AWT22" s="11"/>
      <c r="AWU22" s="11"/>
      <c r="AWV22" s="11"/>
      <c r="AWW22" s="11"/>
      <c r="AWX22" s="11"/>
      <c r="AWY22" s="11"/>
      <c r="AWZ22" s="11"/>
      <c r="AXA22" s="11"/>
      <c r="AXB22" s="11"/>
      <c r="AXC22" s="11"/>
      <c r="AXD22" s="11"/>
      <c r="AXE22" s="11"/>
      <c r="AXF22" s="11"/>
      <c r="AXG22" s="11"/>
      <c r="AXH22" s="11"/>
      <c r="AXI22" s="11"/>
      <c r="AXJ22" s="11"/>
      <c r="AXK22" s="11"/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/>
      <c r="AYB22" s="11"/>
      <c r="AYC22" s="11"/>
      <c r="AYD22" s="11"/>
      <c r="AYE22" s="11"/>
      <c r="AYF22" s="11"/>
      <c r="AYG22" s="11"/>
      <c r="AYH22" s="11"/>
      <c r="AYI22" s="11"/>
      <c r="AYJ22" s="11"/>
      <c r="AYK22" s="11"/>
      <c r="AYL22" s="11"/>
      <c r="AYM22" s="11"/>
      <c r="AYN22" s="11"/>
      <c r="AYO22" s="11"/>
      <c r="AYP22" s="11"/>
      <c r="AYQ22" s="11"/>
      <c r="AYR22" s="11"/>
      <c r="AYS22" s="11"/>
      <c r="AYT22" s="11"/>
      <c r="AYU22" s="11"/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/>
      <c r="AZN22" s="11"/>
      <c r="AZO22" s="11"/>
      <c r="AZP22" s="11"/>
      <c r="AZQ22" s="11"/>
      <c r="AZR22" s="11"/>
      <c r="AZS22" s="11"/>
      <c r="AZT22" s="11"/>
      <c r="AZU22" s="11"/>
      <c r="AZV22" s="11"/>
      <c r="AZW22" s="11"/>
      <c r="AZX22" s="11"/>
      <c r="AZY22" s="11"/>
      <c r="AZZ22" s="11"/>
      <c r="BAA22" s="11"/>
      <c r="BAB22" s="11"/>
      <c r="BAC22" s="11"/>
      <c r="BAD22" s="11"/>
      <c r="BAE22" s="11"/>
      <c r="BAF22" s="11"/>
      <c r="BAG22" s="11"/>
      <c r="BAH22" s="11"/>
      <c r="BAI22" s="11"/>
      <c r="BAJ22" s="11"/>
      <c r="BAK22" s="11"/>
      <c r="BAL22" s="11"/>
      <c r="BAM22" s="11"/>
      <c r="BAN22" s="11"/>
      <c r="BAO22" s="11"/>
      <c r="BAP22" s="11"/>
      <c r="BAQ22" s="11"/>
      <c r="BAR22" s="11"/>
      <c r="BAS22" s="11"/>
      <c r="BAT22" s="11"/>
      <c r="BAU22" s="11"/>
      <c r="BAV22" s="11"/>
      <c r="BAW22" s="11"/>
      <c r="BAX22" s="11"/>
      <c r="BAY22" s="11"/>
      <c r="BAZ22" s="11"/>
      <c r="BBA22" s="11"/>
      <c r="BBB22" s="11"/>
      <c r="BBC22" s="11"/>
      <c r="BBD22" s="11"/>
      <c r="BBE22" s="11"/>
      <c r="BBF22" s="11"/>
      <c r="BBG22" s="11"/>
      <c r="BBH22" s="11"/>
      <c r="BBI22" s="11"/>
      <c r="BBJ22" s="11"/>
      <c r="BBK22" s="11"/>
      <c r="BBL22" s="11"/>
      <c r="BBM22" s="11"/>
      <c r="BBN22" s="11"/>
      <c r="BBO22" s="11"/>
      <c r="BBP22" s="11"/>
      <c r="BBQ22" s="11"/>
      <c r="BBR22" s="11"/>
      <c r="BBS22" s="11"/>
      <c r="BBT22" s="11"/>
      <c r="BBU22" s="11"/>
      <c r="BBV22" s="11"/>
      <c r="BBW22" s="11"/>
      <c r="BBX22" s="11"/>
      <c r="BBY22" s="11"/>
      <c r="BBZ22" s="11"/>
      <c r="BCA22" s="11"/>
      <c r="BCB22" s="11"/>
      <c r="BCC22" s="11"/>
      <c r="BCD22" s="11"/>
      <c r="BCE22" s="11"/>
      <c r="BCF22" s="11"/>
      <c r="BCG22" s="11"/>
      <c r="BCH22" s="11"/>
      <c r="BCI22" s="11"/>
      <c r="BCJ22" s="11"/>
      <c r="BCK22" s="11"/>
      <c r="BCL22" s="11"/>
      <c r="BCM22" s="11"/>
      <c r="BCN22" s="11"/>
      <c r="BCO22" s="11"/>
      <c r="BCP22" s="11"/>
      <c r="BCQ22" s="11"/>
      <c r="BCR22" s="11"/>
      <c r="BCS22" s="11"/>
      <c r="BCT22" s="11"/>
      <c r="BCU22" s="11"/>
      <c r="BCV22" s="11"/>
      <c r="BCW22" s="11"/>
      <c r="BCX22" s="11"/>
      <c r="BCY22" s="11"/>
      <c r="BCZ22" s="11"/>
      <c r="BDA22" s="11"/>
      <c r="BDB22" s="11"/>
      <c r="BDC22" s="11"/>
      <c r="BDD22" s="11"/>
      <c r="BDE22" s="11"/>
      <c r="BDF22" s="11"/>
      <c r="BDG22" s="11"/>
      <c r="BDH22" s="11"/>
      <c r="BDI22" s="11"/>
      <c r="BDJ22" s="11"/>
      <c r="BDK22" s="11"/>
      <c r="BDL22" s="11"/>
      <c r="BDM22" s="11"/>
      <c r="BDN22" s="11"/>
      <c r="BDO22" s="11"/>
      <c r="BDP22" s="11"/>
      <c r="BDQ22" s="11"/>
      <c r="BDR22" s="11"/>
      <c r="BDS22" s="11"/>
      <c r="BDT22" s="11"/>
      <c r="BDU22" s="11"/>
      <c r="BDV22" s="11"/>
      <c r="BDW22" s="11"/>
      <c r="BDX22" s="11"/>
      <c r="BDY22" s="11"/>
      <c r="BDZ22" s="11"/>
      <c r="BEA22" s="11"/>
      <c r="BEB22" s="11"/>
      <c r="BEC22" s="11"/>
      <c r="BED22" s="11"/>
      <c r="BEE22" s="11"/>
      <c r="BEF22" s="11"/>
      <c r="BEG22" s="11"/>
      <c r="BEH22" s="11"/>
      <c r="BEI22" s="11"/>
      <c r="BEJ22" s="11"/>
      <c r="BEK22" s="11"/>
      <c r="BEL22" s="11"/>
      <c r="BEM22" s="11"/>
      <c r="BEN22" s="11"/>
      <c r="BEO22" s="11"/>
      <c r="BEP22" s="11"/>
      <c r="BEQ22" s="11"/>
      <c r="BER22" s="11"/>
      <c r="BES22" s="11"/>
      <c r="BET22" s="11"/>
      <c r="BEU22" s="11"/>
      <c r="BEV22" s="11"/>
      <c r="BEW22" s="11"/>
      <c r="BEX22" s="11"/>
      <c r="BEY22" s="11"/>
      <c r="BEZ22" s="11"/>
      <c r="BFA22" s="11"/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/>
      <c r="BFP22" s="11"/>
      <c r="BFQ22" s="11"/>
      <c r="BFR22" s="11"/>
      <c r="BFS22" s="11"/>
      <c r="BFT22" s="11"/>
      <c r="BFU22" s="11"/>
      <c r="BFV22" s="11"/>
      <c r="BFW22" s="11"/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/>
      <c r="BGN22" s="11"/>
      <c r="BGO22" s="11"/>
      <c r="BGP22" s="11"/>
      <c r="BGQ22" s="11"/>
      <c r="BGR22" s="11"/>
      <c r="BGS22" s="11"/>
      <c r="BGT22" s="11"/>
      <c r="BGU22" s="11"/>
      <c r="BGV22" s="11"/>
      <c r="BGW22" s="11"/>
      <c r="BGX22" s="11"/>
      <c r="BGY22" s="11"/>
      <c r="BGZ22" s="11"/>
      <c r="BHA22" s="11"/>
      <c r="BHB22" s="11"/>
      <c r="BHC22" s="11"/>
      <c r="BHD22" s="11"/>
      <c r="BHE22" s="11"/>
      <c r="BHF22" s="11"/>
      <c r="BHG22" s="11"/>
      <c r="BHH22" s="11"/>
      <c r="BHI22" s="11"/>
      <c r="BHJ22" s="11"/>
      <c r="BHK22" s="11"/>
      <c r="BHL22" s="11"/>
      <c r="BHM22" s="11"/>
      <c r="BHN22" s="11"/>
      <c r="BHO22" s="11"/>
      <c r="BHP22" s="11"/>
      <c r="BHQ22" s="11"/>
      <c r="BHR22" s="11"/>
      <c r="BHS22" s="11"/>
      <c r="BHT22" s="11"/>
      <c r="BHU22" s="11"/>
      <c r="BHV22" s="11"/>
      <c r="BHW22" s="11"/>
      <c r="BHX22" s="11"/>
      <c r="BHY22" s="11"/>
      <c r="BHZ22" s="11"/>
      <c r="BIA22" s="11"/>
      <c r="BIB22" s="11"/>
      <c r="BIC22" s="11"/>
      <c r="BID22" s="11"/>
      <c r="BIE22" s="11"/>
      <c r="BIF22" s="11"/>
      <c r="BIG22" s="11"/>
      <c r="BIH22" s="11"/>
      <c r="BII22" s="11"/>
      <c r="BIJ22" s="11"/>
      <c r="BIK22" s="11"/>
      <c r="BIL22" s="11"/>
      <c r="BIM22" s="11"/>
      <c r="BIN22" s="11"/>
      <c r="BIO22" s="11"/>
      <c r="BIP22" s="11"/>
      <c r="BIQ22" s="11"/>
      <c r="BIR22" s="11"/>
      <c r="BIS22" s="11"/>
      <c r="BIT22" s="11"/>
      <c r="BIU22" s="11"/>
      <c r="BIV22" s="11"/>
      <c r="BIW22" s="11"/>
      <c r="BIX22" s="11"/>
      <c r="BIY22" s="11"/>
      <c r="BIZ22" s="11"/>
      <c r="BJA22" s="11"/>
      <c r="BJB22" s="11"/>
      <c r="BJC22" s="11"/>
      <c r="BJD22" s="11"/>
      <c r="BJE22" s="11"/>
      <c r="BJF22" s="11"/>
      <c r="BJG22" s="11"/>
      <c r="BJH22" s="11"/>
      <c r="BJI22" s="11"/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  <c r="BKJ22" s="11"/>
      <c r="BKK22" s="11"/>
      <c r="BKL22" s="11"/>
      <c r="BKM22" s="11"/>
      <c r="BKN22" s="11"/>
      <c r="BKO22" s="11"/>
      <c r="BKP22" s="11"/>
      <c r="BKQ22" s="11"/>
      <c r="BKR22" s="11"/>
      <c r="BKS22" s="11"/>
      <c r="BKT22" s="11"/>
      <c r="BKU22" s="11"/>
      <c r="BKV22" s="11"/>
      <c r="BKW22" s="11"/>
      <c r="BKX22" s="11"/>
      <c r="BKY22" s="11"/>
      <c r="BKZ22" s="11"/>
      <c r="BLA22" s="11"/>
      <c r="BLB22" s="11"/>
      <c r="BLC22" s="11"/>
      <c r="BLD22" s="11"/>
      <c r="BLE22" s="11"/>
      <c r="BLF22" s="11"/>
      <c r="BLG22" s="11"/>
      <c r="BLH22" s="11"/>
      <c r="BLI22" s="11"/>
      <c r="BLJ22" s="11"/>
      <c r="BLK22" s="11"/>
      <c r="BLL22" s="11"/>
      <c r="BLM22" s="11"/>
      <c r="BLN22" s="11"/>
      <c r="BLO22" s="11"/>
      <c r="BLP22" s="11"/>
      <c r="BLQ22" s="11"/>
      <c r="BLR22" s="11"/>
      <c r="BLS22" s="11"/>
      <c r="BLT22" s="11"/>
      <c r="BLU22" s="11"/>
      <c r="BLV22" s="11"/>
      <c r="BLW22" s="11"/>
      <c r="BLX22" s="11"/>
      <c r="BLY22" s="11"/>
      <c r="BLZ22" s="11"/>
      <c r="BMA22" s="11"/>
      <c r="BMB22" s="11"/>
      <c r="BMC22" s="11"/>
      <c r="BMD22" s="11"/>
      <c r="BME22" s="11"/>
      <c r="BMF22" s="11"/>
      <c r="BMG22" s="11"/>
      <c r="BMH22" s="11"/>
      <c r="BMI22" s="11"/>
      <c r="BMJ22" s="11"/>
      <c r="BMK22" s="11"/>
      <c r="BML22" s="11"/>
      <c r="BMM22" s="11"/>
      <c r="BMN22" s="11"/>
      <c r="BMO22" s="11"/>
      <c r="BMP22" s="11"/>
      <c r="BMQ22" s="11"/>
      <c r="BMR22" s="11"/>
      <c r="BMS22" s="11"/>
      <c r="BMT22" s="11"/>
      <c r="BMU22" s="11"/>
      <c r="BMV22" s="11"/>
      <c r="BMW22" s="11"/>
      <c r="BMX22" s="11"/>
      <c r="BMY22" s="11"/>
      <c r="BMZ22" s="11"/>
      <c r="BNA22" s="11"/>
      <c r="BNB22" s="11"/>
      <c r="BNC22" s="11"/>
      <c r="BND22" s="11"/>
      <c r="BNE22" s="11"/>
      <c r="BNF22" s="11"/>
      <c r="BNG22" s="11"/>
      <c r="BNH22" s="11"/>
      <c r="BNI22" s="11"/>
      <c r="BNJ22" s="11"/>
      <c r="BNK22" s="11"/>
      <c r="BNL22" s="11"/>
      <c r="BNM22" s="11"/>
      <c r="BNN22" s="11"/>
      <c r="BNO22" s="11"/>
      <c r="BNP22" s="11"/>
      <c r="BNQ22" s="11"/>
      <c r="BNR22" s="11"/>
      <c r="BNS22" s="11"/>
      <c r="BNT22" s="11"/>
      <c r="BNU22" s="11"/>
      <c r="BNV22" s="11"/>
      <c r="BNW22" s="11"/>
      <c r="BNX22" s="11"/>
      <c r="BNY22" s="11"/>
      <c r="BNZ22" s="11"/>
      <c r="BOA22" s="11"/>
      <c r="BOB22" s="11"/>
      <c r="BOC22" s="11"/>
      <c r="BOD22" s="11"/>
      <c r="BOE22" s="11"/>
      <c r="BOF22" s="11"/>
      <c r="BOG22" s="11"/>
      <c r="BOH22" s="11"/>
      <c r="BOI22" s="11"/>
      <c r="BOJ22" s="11"/>
      <c r="BOK22" s="11"/>
      <c r="BOL22" s="11"/>
      <c r="BOM22" s="11"/>
      <c r="BON22" s="11"/>
      <c r="BOO22" s="11"/>
      <c r="BOP22" s="11"/>
      <c r="BOQ22" s="11"/>
      <c r="BOR22" s="11"/>
      <c r="BOS22" s="11"/>
      <c r="BOT22" s="11"/>
      <c r="BOU22" s="11"/>
      <c r="BOV22" s="11"/>
      <c r="BOW22" s="11"/>
      <c r="BOX22" s="11"/>
      <c r="BOY22" s="11"/>
      <c r="BOZ22" s="11"/>
      <c r="BPA22" s="11"/>
      <c r="BPB22" s="11"/>
      <c r="BPC22" s="11"/>
      <c r="BPD22" s="11"/>
      <c r="BPE22" s="11"/>
      <c r="BPF22" s="11"/>
      <c r="BPG22" s="11"/>
      <c r="BPH22" s="11"/>
      <c r="BPI22" s="11"/>
      <c r="BPJ22" s="11"/>
      <c r="BPK22" s="11"/>
      <c r="BPL22" s="11"/>
      <c r="BPM22" s="11"/>
      <c r="BPN22" s="11"/>
      <c r="BPO22" s="11"/>
      <c r="BPP22" s="11"/>
      <c r="BPQ22" s="11"/>
      <c r="BPR22" s="11"/>
      <c r="BPS22" s="11"/>
      <c r="BPT22" s="11"/>
      <c r="BPU22" s="11"/>
      <c r="BPV22" s="11"/>
      <c r="BPW22" s="11"/>
      <c r="BPX22" s="11"/>
      <c r="BPY22" s="11"/>
      <c r="BPZ22" s="11"/>
      <c r="BQA22" s="11"/>
      <c r="BQB22" s="11"/>
      <c r="BQC22" s="11"/>
      <c r="BQD22" s="11"/>
      <c r="BQE22" s="11"/>
      <c r="BQF22" s="11"/>
      <c r="BQG22" s="11"/>
      <c r="BQH22" s="11"/>
      <c r="BQI22" s="11"/>
      <c r="BQJ22" s="11"/>
      <c r="BQK22" s="11"/>
      <c r="BQL22" s="11"/>
      <c r="BQM22" s="11"/>
      <c r="BQN22" s="11"/>
      <c r="BQO22" s="11"/>
      <c r="BQP22" s="11"/>
      <c r="BQQ22" s="11"/>
      <c r="BQR22" s="11"/>
      <c r="BQS22" s="11"/>
      <c r="BQT22" s="11"/>
      <c r="BQU22" s="11"/>
      <c r="BQV22" s="11"/>
      <c r="BQW22" s="11"/>
      <c r="BQX22" s="11"/>
      <c r="BQY22" s="11"/>
      <c r="BQZ22" s="11"/>
      <c r="BRA22" s="11"/>
      <c r="BRB22" s="11"/>
      <c r="BRC22" s="11"/>
      <c r="BRD22" s="11"/>
      <c r="BRE22" s="11"/>
      <c r="BRF22" s="11"/>
      <c r="BRG22" s="11"/>
      <c r="BRH22" s="11"/>
      <c r="BRI22" s="11"/>
      <c r="BRJ22" s="11"/>
      <c r="BRK22" s="11"/>
      <c r="BRL22" s="11"/>
      <c r="BRM22" s="11"/>
      <c r="BRN22" s="11"/>
      <c r="BRO22" s="11"/>
      <c r="BRP22" s="11"/>
      <c r="BRQ22" s="11"/>
      <c r="BRR22" s="11"/>
      <c r="BRS22" s="11"/>
      <c r="BRT22" s="11"/>
      <c r="BRU22" s="11"/>
      <c r="BRV22" s="11"/>
      <c r="BRW22" s="11"/>
      <c r="BRX22" s="11"/>
      <c r="BRY22" s="11"/>
      <c r="BRZ22" s="11"/>
      <c r="BSA22" s="11"/>
      <c r="BSB22" s="11"/>
      <c r="BSC22" s="11"/>
      <c r="BSD22" s="11"/>
      <c r="BSE22" s="11"/>
      <c r="BSF22" s="11"/>
      <c r="BSG22" s="11"/>
      <c r="BSH22" s="11"/>
      <c r="BSI22" s="11"/>
      <c r="BSJ22" s="11"/>
      <c r="BSK22" s="11"/>
      <c r="BSL22" s="11"/>
      <c r="BSM22" s="11"/>
      <c r="BSN22" s="11"/>
      <c r="BSO22" s="11"/>
      <c r="BSP22" s="11"/>
      <c r="BSQ22" s="11"/>
      <c r="BSR22" s="11"/>
      <c r="BSS22" s="11"/>
      <c r="BST22" s="11"/>
      <c r="BSU22" s="11"/>
      <c r="BSV22" s="11"/>
      <c r="BSW22" s="11"/>
      <c r="BSX22" s="11"/>
      <c r="BSY22" s="11"/>
      <c r="BSZ22" s="11"/>
      <c r="BTA22" s="11"/>
      <c r="BTB22" s="11"/>
      <c r="BTC22" s="11"/>
      <c r="BTD22" s="11"/>
      <c r="BTE22" s="11"/>
      <c r="BTF22" s="11"/>
      <c r="BTG22" s="11"/>
      <c r="BTH22" s="11"/>
      <c r="BTI22" s="11"/>
      <c r="BTJ22" s="11"/>
      <c r="BTK22" s="11"/>
      <c r="BTL22" s="11"/>
      <c r="BTM22" s="11"/>
      <c r="BTN22" s="11"/>
      <c r="BTO22" s="11"/>
      <c r="BTP22" s="11"/>
      <c r="BTQ22" s="11"/>
      <c r="BTR22" s="11"/>
      <c r="BTS22" s="11"/>
      <c r="BTT22" s="11"/>
      <c r="BTU22" s="11"/>
      <c r="BTV22" s="11"/>
      <c r="BTW22" s="11"/>
      <c r="BTX22" s="11"/>
      <c r="BTY22" s="11"/>
      <c r="BTZ22" s="11"/>
      <c r="BUA22" s="11"/>
      <c r="BUB22" s="11"/>
      <c r="BUC22" s="11"/>
      <c r="BUD22" s="11"/>
      <c r="BUE22" s="11"/>
      <c r="BUF22" s="11"/>
      <c r="BUG22" s="11"/>
      <c r="BUH22" s="11"/>
      <c r="BUI22" s="11"/>
      <c r="BUJ22" s="11"/>
      <c r="BUK22" s="11"/>
      <c r="BUL22" s="11"/>
      <c r="BUM22" s="11"/>
      <c r="BUN22" s="11"/>
      <c r="BUO22" s="11"/>
      <c r="BUP22" s="11"/>
      <c r="BUQ22" s="11"/>
      <c r="BUR22" s="11"/>
      <c r="BUS22" s="11"/>
      <c r="BUT22" s="11"/>
      <c r="BUU22" s="11"/>
      <c r="BUV22" s="11"/>
      <c r="BUW22" s="11"/>
      <c r="BUX22" s="11"/>
      <c r="BUY22" s="11"/>
      <c r="BUZ22" s="11"/>
      <c r="BVA22" s="11"/>
      <c r="BVB22" s="11"/>
      <c r="BVC22" s="11"/>
      <c r="BVD22" s="11"/>
      <c r="BVE22" s="11"/>
      <c r="BVF22" s="11"/>
      <c r="BVG22" s="11"/>
      <c r="BVH22" s="11"/>
      <c r="BVI22" s="11"/>
      <c r="BVJ22" s="11"/>
      <c r="BVK22" s="11"/>
      <c r="BVL22" s="11"/>
      <c r="BVM22" s="11"/>
      <c r="BVN22" s="11"/>
      <c r="BVO22" s="11"/>
      <c r="BVP22" s="11"/>
      <c r="BVQ22" s="11"/>
      <c r="BVR22" s="11"/>
      <c r="BVS22" s="11"/>
      <c r="BVT22" s="11"/>
      <c r="BVU22" s="11"/>
      <c r="BVV22" s="11"/>
      <c r="BVW22" s="11"/>
      <c r="BVX22" s="11"/>
      <c r="BVY22" s="11"/>
      <c r="BVZ22" s="11"/>
      <c r="BWA22" s="11"/>
      <c r="BWB22" s="11"/>
      <c r="BWC22" s="11"/>
      <c r="BWD22" s="11"/>
      <c r="BWE22" s="11"/>
      <c r="BWF22" s="11"/>
      <c r="BWG22" s="11"/>
      <c r="BWH22" s="11"/>
      <c r="BWI22" s="11"/>
      <c r="BWJ22" s="11"/>
      <c r="BWK22" s="11"/>
      <c r="BWL22" s="11"/>
      <c r="BWM22" s="11"/>
      <c r="BWN22" s="11"/>
      <c r="BWO22" s="11"/>
      <c r="BWP22" s="11"/>
      <c r="BWQ22" s="11"/>
      <c r="BWR22" s="11"/>
      <c r="BWS22" s="11"/>
      <c r="BWT22" s="11"/>
      <c r="BWU22" s="11"/>
      <c r="BWV22" s="11"/>
      <c r="BWW22" s="11"/>
      <c r="BWX22" s="11"/>
      <c r="BWY22" s="11"/>
      <c r="BWZ22" s="11"/>
      <c r="BXA22" s="11"/>
      <c r="BXB22" s="11"/>
      <c r="BXC22" s="11"/>
      <c r="BXD22" s="11"/>
      <c r="BXE22" s="11"/>
      <c r="BXF22" s="11"/>
      <c r="BXG22" s="11"/>
      <c r="BXH22" s="11"/>
      <c r="BXI22" s="11"/>
      <c r="BXJ22" s="11"/>
      <c r="BXK22" s="11"/>
      <c r="BXL22" s="11"/>
      <c r="BXM22" s="11"/>
      <c r="BXN22" s="11"/>
      <c r="BXO22" s="11"/>
      <c r="BXP22" s="11"/>
      <c r="BXQ22" s="11"/>
      <c r="BXR22" s="11"/>
      <c r="BXS22" s="11"/>
      <c r="BXT22" s="11"/>
      <c r="BXU22" s="11"/>
      <c r="BXV22" s="11"/>
      <c r="BXW22" s="11"/>
      <c r="BXX22" s="11"/>
      <c r="BXY22" s="11"/>
      <c r="BXZ22" s="11"/>
      <c r="BYA22" s="11"/>
      <c r="BYB22" s="11"/>
      <c r="BYC22" s="11"/>
      <c r="BYD22" s="11"/>
      <c r="BYE22" s="11"/>
      <c r="BYF22" s="11"/>
      <c r="BYG22" s="11"/>
      <c r="BYH22" s="11"/>
      <c r="BYI22" s="11"/>
      <c r="BYJ22" s="11"/>
      <c r="BYK22" s="11"/>
      <c r="BYL22" s="11"/>
      <c r="BYM22" s="11"/>
      <c r="BYN22" s="11"/>
      <c r="BYO22" s="11"/>
      <c r="BYP22" s="11"/>
      <c r="BYQ22" s="11"/>
      <c r="BYR22" s="11"/>
      <c r="BYS22" s="11"/>
      <c r="BYT22" s="11"/>
      <c r="BYU22" s="11"/>
      <c r="BYV22" s="11"/>
      <c r="BYW22" s="11"/>
      <c r="BYX22" s="11"/>
      <c r="BYY22" s="11"/>
      <c r="BYZ22" s="11"/>
      <c r="BZA22" s="11"/>
      <c r="BZB22" s="11"/>
      <c r="BZC22" s="11"/>
      <c r="BZD22" s="11"/>
      <c r="BZE22" s="11"/>
      <c r="BZF22" s="11"/>
      <c r="BZG22" s="11"/>
      <c r="BZH22" s="11"/>
      <c r="BZI22" s="11"/>
      <c r="BZJ22" s="11"/>
      <c r="BZK22" s="11"/>
      <c r="BZL22" s="11"/>
      <c r="BZM22" s="11"/>
      <c r="BZN22" s="11"/>
      <c r="BZO22" s="11"/>
      <c r="BZP22" s="11"/>
      <c r="BZQ22" s="11"/>
      <c r="BZR22" s="11"/>
      <c r="BZS22" s="11"/>
      <c r="BZT22" s="11"/>
      <c r="BZU22" s="11"/>
      <c r="BZV22" s="11"/>
      <c r="BZW22" s="11"/>
      <c r="BZX22" s="11"/>
      <c r="BZY22" s="11"/>
      <c r="BZZ22" s="11"/>
      <c r="CAA22" s="11"/>
      <c r="CAB22" s="11"/>
      <c r="CAC22" s="11"/>
      <c r="CAD22" s="11"/>
      <c r="CAE22" s="11"/>
      <c r="CAF22" s="11"/>
      <c r="CAG22" s="11"/>
      <c r="CAH22" s="11"/>
      <c r="CAI22" s="11"/>
      <c r="CAJ22" s="11"/>
      <c r="CAK22" s="11"/>
      <c r="CAL22" s="11"/>
      <c r="CAM22" s="11"/>
      <c r="CAN22" s="11"/>
      <c r="CAO22" s="11"/>
      <c r="CAP22" s="11"/>
      <c r="CAQ22" s="11"/>
      <c r="CAR22" s="11"/>
      <c r="CAS22" s="11"/>
      <c r="CAT22" s="11"/>
      <c r="CAU22" s="11"/>
      <c r="CAV22" s="11"/>
      <c r="CAW22" s="11"/>
      <c r="CAX22" s="11"/>
      <c r="CAY22" s="11"/>
      <c r="CAZ22" s="11"/>
      <c r="CBA22" s="11"/>
      <c r="CBB22" s="11"/>
      <c r="CBC22" s="11"/>
      <c r="CBD22" s="11"/>
      <c r="CBE22" s="11"/>
      <c r="CBF22" s="11"/>
      <c r="CBG22" s="11"/>
      <c r="CBH22" s="11"/>
      <c r="CBI22" s="11"/>
      <c r="CBJ22" s="11"/>
      <c r="CBK22" s="11"/>
      <c r="CBL22" s="11"/>
      <c r="CBM22" s="11"/>
      <c r="CBN22" s="11"/>
      <c r="CBO22" s="11"/>
      <c r="CBP22" s="11"/>
      <c r="CBQ22" s="11"/>
      <c r="CBR22" s="11"/>
      <c r="CBS22" s="11"/>
      <c r="CBT22" s="11"/>
      <c r="CBU22" s="11"/>
      <c r="CBV22" s="11"/>
      <c r="CBW22" s="11"/>
      <c r="CBX22" s="11"/>
      <c r="CBY22" s="11"/>
      <c r="CBZ22" s="11"/>
      <c r="CCA22" s="11"/>
      <c r="CCB22" s="11"/>
      <c r="CCC22" s="11"/>
      <c r="CCD22" s="11"/>
      <c r="CCE22" s="11"/>
      <c r="CCF22" s="11"/>
      <c r="CCG22" s="11"/>
      <c r="CCH22" s="11"/>
      <c r="CCI22" s="11"/>
      <c r="CCJ22" s="11"/>
      <c r="CCK22" s="11"/>
      <c r="CCL22" s="11"/>
      <c r="CCM22" s="11"/>
      <c r="CCN22" s="11"/>
      <c r="CCO22" s="11"/>
      <c r="CCP22" s="11"/>
      <c r="CCQ22" s="11"/>
      <c r="CCR22" s="11"/>
      <c r="CCS22" s="11"/>
      <c r="CCT22" s="11"/>
      <c r="CCU22" s="11"/>
      <c r="CCV22" s="11"/>
      <c r="CCW22" s="11"/>
      <c r="CCX22" s="11"/>
      <c r="CCY22" s="11"/>
      <c r="CCZ22" s="11"/>
      <c r="CDA22" s="11"/>
      <c r="CDB22" s="11"/>
      <c r="CDC22" s="11"/>
      <c r="CDD22" s="11"/>
      <c r="CDE22" s="11"/>
      <c r="CDF22" s="11"/>
      <c r="CDG22" s="11"/>
      <c r="CDH22" s="11"/>
      <c r="CDI22" s="11"/>
      <c r="CDJ22" s="11"/>
      <c r="CDK22" s="11"/>
      <c r="CDL22" s="11"/>
      <c r="CDM22" s="11"/>
      <c r="CDN22" s="11"/>
      <c r="CDO22" s="11"/>
      <c r="CDP22" s="11"/>
      <c r="CDQ22" s="11"/>
      <c r="CDR22" s="11"/>
      <c r="CDS22" s="11"/>
      <c r="CDT22" s="11"/>
      <c r="CDU22" s="11"/>
      <c r="CDV22" s="11"/>
      <c r="CDW22" s="11"/>
      <c r="CDX22" s="11"/>
      <c r="CDY22" s="11"/>
      <c r="CDZ22" s="11"/>
      <c r="CEA22" s="11"/>
      <c r="CEB22" s="11"/>
      <c r="CEC22" s="11"/>
      <c r="CED22" s="11"/>
      <c r="CEE22" s="11"/>
      <c r="CEF22" s="11"/>
      <c r="CEG22" s="11"/>
      <c r="CEH22" s="11"/>
      <c r="CEI22" s="11"/>
      <c r="CEJ22" s="11"/>
      <c r="CEK22" s="11"/>
      <c r="CEL22" s="11"/>
      <c r="CEM22" s="11"/>
      <c r="CEN22" s="11"/>
      <c r="CEO22" s="11"/>
      <c r="CEP22" s="11"/>
      <c r="CEQ22" s="11"/>
      <c r="CER22" s="11"/>
      <c r="CES22" s="11"/>
      <c r="CET22" s="11"/>
      <c r="CEU22" s="11"/>
      <c r="CEV22" s="11"/>
      <c r="CEW22" s="11"/>
      <c r="CEX22" s="11"/>
      <c r="CEY22" s="11"/>
      <c r="CEZ22" s="11"/>
      <c r="CFA22" s="11"/>
      <c r="CFB22" s="11"/>
      <c r="CFC22" s="11"/>
      <c r="CFD22" s="11"/>
      <c r="CFE22" s="11"/>
      <c r="CFF22" s="11"/>
      <c r="CFG22" s="11"/>
      <c r="CFH22" s="11"/>
      <c r="CFI22" s="11"/>
      <c r="CFJ22" s="11"/>
      <c r="CFK22" s="11"/>
      <c r="CFL22" s="11"/>
      <c r="CFM22" s="11"/>
      <c r="CFN22" s="11"/>
      <c r="CFO22" s="11"/>
      <c r="CFP22" s="11"/>
      <c r="CFQ22" s="11"/>
      <c r="CFR22" s="11"/>
      <c r="CFS22" s="11"/>
      <c r="CFT22" s="11"/>
      <c r="CFU22" s="11"/>
      <c r="CFV22" s="11"/>
      <c r="CFW22" s="11"/>
      <c r="CFX22" s="11"/>
      <c r="CFY22" s="11"/>
      <c r="CFZ22" s="11"/>
      <c r="CGA22" s="11"/>
      <c r="CGB22" s="11"/>
      <c r="CGC22" s="11"/>
      <c r="CGD22" s="11"/>
      <c r="CGE22" s="11"/>
      <c r="CGF22" s="11"/>
      <c r="CGG22" s="11"/>
      <c r="CGH22" s="11"/>
      <c r="CGI22" s="11"/>
      <c r="CGJ22" s="11"/>
      <c r="CGK22" s="11"/>
      <c r="CGL22" s="11"/>
      <c r="CGM22" s="11"/>
      <c r="CGN22" s="11"/>
      <c r="CGO22" s="11"/>
      <c r="CGP22" s="11"/>
      <c r="CGQ22" s="11"/>
      <c r="CGR22" s="11"/>
      <c r="CGS22" s="11"/>
      <c r="CGT22" s="11"/>
      <c r="CGU22" s="11"/>
      <c r="CGV22" s="11"/>
      <c r="CGW22" s="11"/>
      <c r="CGX22" s="11"/>
      <c r="CGY22" s="11"/>
      <c r="CGZ22" s="11"/>
      <c r="CHA22" s="11"/>
      <c r="CHB22" s="11"/>
      <c r="CHC22" s="11"/>
      <c r="CHD22" s="11"/>
      <c r="CHE22" s="11"/>
      <c r="CHF22" s="11"/>
      <c r="CHG22" s="11"/>
      <c r="CHH22" s="11"/>
      <c r="CHI22" s="11"/>
      <c r="CHJ22" s="11"/>
      <c r="CHK22" s="11"/>
      <c r="CHL22" s="11"/>
      <c r="CHM22" s="11"/>
      <c r="CHN22" s="11"/>
      <c r="CHO22" s="11"/>
      <c r="CHP22" s="11"/>
      <c r="CHQ22" s="11"/>
      <c r="CHR22" s="11"/>
      <c r="CHS22" s="11"/>
      <c r="CHT22" s="11"/>
      <c r="CHU22" s="11"/>
      <c r="CHV22" s="11"/>
      <c r="CHW22" s="11"/>
      <c r="CHX22" s="11"/>
      <c r="CHY22" s="11"/>
      <c r="CHZ22" s="11"/>
      <c r="CIA22" s="11"/>
      <c r="CIB22" s="11"/>
      <c r="CIC22" s="11"/>
      <c r="CID22" s="11"/>
      <c r="CIE22" s="11"/>
      <c r="CIF22" s="11"/>
      <c r="CIG22" s="11"/>
      <c r="CIH22" s="11"/>
      <c r="CII22" s="11"/>
      <c r="CIJ22" s="11"/>
      <c r="CIK22" s="11"/>
      <c r="CIL22" s="11"/>
      <c r="CIM22" s="11"/>
      <c r="CIN22" s="11"/>
      <c r="CIO22" s="11"/>
      <c r="CIP22" s="11"/>
      <c r="CIQ22" s="11"/>
      <c r="CIR22" s="11"/>
      <c r="CIS22" s="11"/>
      <c r="CIT22" s="11"/>
      <c r="CIU22" s="11"/>
      <c r="CIV22" s="11"/>
      <c r="CIW22" s="11"/>
      <c r="CIX22" s="11"/>
      <c r="CIY22" s="11"/>
      <c r="CIZ22" s="11"/>
      <c r="CJA22" s="11"/>
      <c r="CJB22" s="11"/>
      <c r="CJC22" s="11"/>
      <c r="CJD22" s="11"/>
      <c r="CJE22" s="11"/>
      <c r="CJF22" s="11"/>
      <c r="CJG22" s="11"/>
      <c r="CJH22" s="11"/>
      <c r="CJI22" s="11"/>
      <c r="CJJ22" s="11"/>
      <c r="CJK22" s="11"/>
      <c r="CJL22" s="11"/>
      <c r="CJM22" s="11"/>
      <c r="CJN22" s="11"/>
      <c r="CJO22" s="11"/>
      <c r="CJP22" s="11"/>
      <c r="CJQ22" s="11"/>
      <c r="CJR22" s="11"/>
      <c r="CJS22" s="11"/>
      <c r="CJT22" s="11"/>
      <c r="CJU22" s="11"/>
      <c r="CJV22" s="11"/>
      <c r="CJW22" s="11"/>
      <c r="CJX22" s="11"/>
      <c r="CJY22" s="11"/>
      <c r="CJZ22" s="11"/>
      <c r="CKA22" s="11"/>
      <c r="CKB22" s="11"/>
      <c r="CKC22" s="11"/>
      <c r="CKD22" s="11"/>
      <c r="CKE22" s="11"/>
      <c r="CKF22" s="11"/>
      <c r="CKG22" s="11"/>
      <c r="CKH22" s="11"/>
      <c r="CKI22" s="11"/>
      <c r="CKJ22" s="11"/>
      <c r="CKK22" s="11"/>
      <c r="CKL22" s="11"/>
      <c r="CKM22" s="11"/>
      <c r="CKN22" s="11"/>
      <c r="CKO22" s="11"/>
      <c r="CKP22" s="11"/>
      <c r="CKQ22" s="11"/>
      <c r="CKR22" s="11"/>
      <c r="CKS22" s="11"/>
      <c r="CKT22" s="11"/>
      <c r="CKU22" s="11"/>
      <c r="CKV22" s="11"/>
      <c r="CKW22" s="11"/>
      <c r="CKX22" s="11"/>
      <c r="CKY22" s="11"/>
      <c r="CKZ22" s="11"/>
      <c r="CLA22" s="11"/>
      <c r="CLB22" s="11"/>
      <c r="CLC22" s="11"/>
      <c r="CLD22" s="11"/>
      <c r="CLE22" s="11"/>
      <c r="CLF22" s="11"/>
      <c r="CLG22" s="11"/>
      <c r="CLH22" s="11"/>
      <c r="CLI22" s="11"/>
      <c r="CLJ22" s="11"/>
      <c r="CLK22" s="11"/>
      <c r="CLL22" s="11"/>
      <c r="CLM22" s="11"/>
      <c r="CLN22" s="11"/>
      <c r="CLO22" s="11"/>
      <c r="CLP22" s="11"/>
      <c r="CLQ22" s="11"/>
      <c r="CLR22" s="11"/>
      <c r="CLS22" s="11"/>
      <c r="CLT22" s="11"/>
      <c r="CLU22" s="11"/>
      <c r="CLV22" s="11"/>
      <c r="CLW22" s="11"/>
      <c r="CLX22" s="11"/>
      <c r="CLY22" s="11"/>
      <c r="CLZ22" s="11"/>
      <c r="CMA22" s="11"/>
      <c r="CMB22" s="11"/>
      <c r="CMC22" s="11"/>
      <c r="CMD22" s="11"/>
      <c r="CME22" s="11"/>
      <c r="CMF22" s="11"/>
      <c r="CMG22" s="11"/>
      <c r="CMH22" s="11"/>
      <c r="CMI22" s="11"/>
      <c r="CMJ22" s="11"/>
      <c r="CMK22" s="11"/>
      <c r="CML22" s="11"/>
      <c r="CMM22" s="11"/>
      <c r="CMN22" s="11"/>
      <c r="CMO22" s="11"/>
      <c r="CMP22" s="11"/>
      <c r="CMQ22" s="11"/>
      <c r="CMR22" s="11"/>
      <c r="CMS22" s="11"/>
      <c r="CMT22" s="11"/>
      <c r="CMU22" s="11"/>
      <c r="CMV22" s="11"/>
      <c r="CMW22" s="11"/>
      <c r="CMX22" s="11"/>
      <c r="CMY22" s="11"/>
      <c r="CMZ22" s="11"/>
      <c r="CNA22" s="11"/>
      <c r="CNB22" s="11"/>
      <c r="CNC22" s="11"/>
      <c r="CND22" s="11"/>
      <c r="CNE22" s="11"/>
      <c r="CNF22" s="11"/>
      <c r="CNG22" s="11"/>
      <c r="CNH22" s="11"/>
      <c r="CNI22" s="11"/>
      <c r="CNJ22" s="11"/>
      <c r="CNK22" s="11"/>
      <c r="CNL22" s="11"/>
      <c r="CNM22" s="11"/>
      <c r="CNN22" s="11"/>
      <c r="CNO22" s="11"/>
      <c r="CNP22" s="11"/>
      <c r="CNQ22" s="11"/>
      <c r="CNR22" s="11"/>
      <c r="CNS22" s="11"/>
      <c r="CNT22" s="11"/>
      <c r="CNU22" s="11"/>
      <c r="CNV22" s="11"/>
      <c r="CNW22" s="11"/>
      <c r="CNX22" s="11"/>
      <c r="CNY22" s="11"/>
      <c r="CNZ22" s="11"/>
      <c r="COA22" s="11"/>
      <c r="COB22" s="11"/>
      <c r="COC22" s="11"/>
      <c r="COD22" s="11"/>
      <c r="COE22" s="11"/>
      <c r="COF22" s="11"/>
      <c r="COG22" s="11"/>
      <c r="COH22" s="11"/>
      <c r="COI22" s="11"/>
      <c r="COJ22" s="11"/>
      <c r="COK22" s="11"/>
      <c r="COL22" s="11"/>
      <c r="COM22" s="11"/>
      <c r="CON22" s="11"/>
      <c r="COO22" s="11"/>
      <c r="COP22" s="11"/>
      <c r="COQ22" s="11"/>
      <c r="COR22" s="11"/>
      <c r="COS22" s="11"/>
      <c r="COT22" s="11"/>
      <c r="COU22" s="11"/>
      <c r="COV22" s="11"/>
      <c r="COW22" s="11"/>
      <c r="COX22" s="11"/>
      <c r="COY22" s="11"/>
      <c r="COZ22" s="11"/>
      <c r="CPA22" s="11"/>
      <c r="CPB22" s="11"/>
      <c r="CPC22" s="11"/>
      <c r="CPD22" s="11"/>
      <c r="CPE22" s="11"/>
      <c r="CPF22" s="11"/>
      <c r="CPG22" s="11"/>
      <c r="CPH22" s="11"/>
      <c r="CPI22" s="11"/>
      <c r="CPJ22" s="11"/>
      <c r="CPK22" s="11"/>
      <c r="CPL22" s="11"/>
      <c r="CPM22" s="11"/>
      <c r="CPN22" s="11"/>
      <c r="CPO22" s="11"/>
      <c r="CPP22" s="11"/>
      <c r="CPQ22" s="11"/>
      <c r="CPR22" s="11"/>
      <c r="CPS22" s="11"/>
      <c r="CPT22" s="11"/>
      <c r="CPU22" s="11"/>
      <c r="CPV22" s="11"/>
      <c r="CPW22" s="11"/>
      <c r="CPX22" s="11"/>
      <c r="CPY22" s="11"/>
      <c r="CPZ22" s="11"/>
      <c r="CQA22" s="11"/>
      <c r="CQB22" s="11"/>
      <c r="CQC22" s="11"/>
      <c r="CQD22" s="11"/>
      <c r="CQE22" s="11"/>
      <c r="CQF22" s="11"/>
      <c r="CQG22" s="11"/>
      <c r="CQH22" s="11"/>
      <c r="CQI22" s="11"/>
      <c r="CQJ22" s="11"/>
      <c r="CQK22" s="11"/>
      <c r="CQL22" s="11"/>
      <c r="CQM22" s="11"/>
      <c r="CQN22" s="11"/>
      <c r="CQO22" s="11"/>
      <c r="CQP22" s="11"/>
      <c r="CQQ22" s="11"/>
      <c r="CQR22" s="11"/>
      <c r="CQS22" s="11"/>
      <c r="CQT22" s="11"/>
      <c r="CQU22" s="11"/>
      <c r="CQV22" s="11"/>
      <c r="CQW22" s="11"/>
      <c r="CQX22" s="11"/>
      <c r="CQY22" s="11"/>
      <c r="CQZ22" s="11"/>
      <c r="CRA22" s="11"/>
      <c r="CRB22" s="11"/>
      <c r="CRC22" s="11"/>
      <c r="CRD22" s="11"/>
      <c r="CRE22" s="11"/>
      <c r="CRF22" s="11"/>
      <c r="CRG22" s="11"/>
      <c r="CRH22" s="11"/>
      <c r="CRI22" s="11"/>
      <c r="CRJ22" s="11"/>
      <c r="CRK22" s="11"/>
      <c r="CRL22" s="11"/>
      <c r="CRM22" s="11"/>
      <c r="CRN22" s="11"/>
      <c r="CRO22" s="11"/>
      <c r="CRP22" s="11"/>
      <c r="CRQ22" s="11"/>
      <c r="CRR22" s="11"/>
      <c r="CRS22" s="11"/>
      <c r="CRT22" s="11"/>
      <c r="CRU22" s="11"/>
      <c r="CRV22" s="11"/>
      <c r="CRW22" s="11"/>
      <c r="CRX22" s="11"/>
      <c r="CRY22" s="11"/>
      <c r="CRZ22" s="11"/>
      <c r="CSA22" s="11"/>
      <c r="CSB22" s="11"/>
      <c r="CSC22" s="11"/>
      <c r="CSD22" s="11"/>
      <c r="CSE22" s="11"/>
      <c r="CSF22" s="11"/>
      <c r="CSG22" s="11"/>
      <c r="CSH22" s="11"/>
      <c r="CSI22" s="11"/>
      <c r="CSJ22" s="11"/>
      <c r="CSK22" s="11"/>
      <c r="CSL22" s="11"/>
      <c r="CSM22" s="11"/>
      <c r="CSN22" s="11"/>
      <c r="CSO22" s="11"/>
      <c r="CSP22" s="11"/>
      <c r="CSQ22" s="11"/>
      <c r="CSR22" s="11"/>
      <c r="CSS22" s="11"/>
      <c r="CST22" s="11"/>
      <c r="CSU22" s="11"/>
      <c r="CSV22" s="11"/>
      <c r="CSW22" s="11"/>
      <c r="CSX22" s="11"/>
      <c r="CSY22" s="11"/>
      <c r="CSZ22" s="11"/>
      <c r="CTA22" s="11"/>
      <c r="CTB22" s="11"/>
      <c r="CTC22" s="11"/>
      <c r="CTD22" s="11"/>
      <c r="CTE22" s="11"/>
      <c r="CTF22" s="11"/>
      <c r="CTG22" s="11"/>
      <c r="CTH22" s="11"/>
      <c r="CTI22" s="11"/>
      <c r="CTJ22" s="11"/>
      <c r="CTK22" s="11"/>
      <c r="CTL22" s="1"/>
      <c r="CTM22" s="1"/>
      <c r="CTN22" s="1"/>
    </row>
    <row r="23" s="5" customFormat="1" ht="59" hidden="1" customHeight="1" spans="1:1024 1025:2562">
      <c r="A23" s="37" t="s">
        <v>112</v>
      </c>
      <c r="B23" s="30" t="s">
        <v>113</v>
      </c>
      <c r="C23" s="30" t="s">
        <v>22</v>
      </c>
      <c r="D23" s="30" t="s">
        <v>114</v>
      </c>
      <c r="E23" s="35">
        <v>55000</v>
      </c>
      <c r="F23" s="35">
        <v>10000</v>
      </c>
      <c r="G23" s="35">
        <v>40000</v>
      </c>
      <c r="H23" s="35">
        <v>12950</v>
      </c>
      <c r="I23" s="35">
        <v>5684</v>
      </c>
      <c r="J23" s="35">
        <v>18634</v>
      </c>
      <c r="K23" s="28">
        <f t="shared" si="0"/>
        <v>0.46585</v>
      </c>
      <c r="L23" s="35" t="s">
        <v>109</v>
      </c>
      <c r="M23" s="35" t="s">
        <v>109</v>
      </c>
      <c r="N23" s="30" t="s">
        <v>115</v>
      </c>
      <c r="O23" s="30" t="s">
        <v>116</v>
      </c>
      <c r="P23" s="30" t="s">
        <v>27</v>
      </c>
      <c r="Q23" s="30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/>
      <c r="AQW23" s="11"/>
      <c r="AQX23" s="11"/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/>
      <c r="ASV23" s="11"/>
      <c r="ASW23" s="11"/>
      <c r="ASX23" s="11"/>
      <c r="ASY23" s="11"/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/>
      <c r="ATL23" s="11"/>
      <c r="ATM23" s="11"/>
      <c r="ATN23" s="11"/>
      <c r="ATO23" s="11"/>
      <c r="ATP23" s="11"/>
      <c r="ATQ23" s="11"/>
      <c r="ATR23" s="11"/>
      <c r="ATS23" s="11"/>
      <c r="ATT23" s="11"/>
      <c r="ATU23" s="11"/>
      <c r="ATV23" s="11"/>
      <c r="ATW23" s="11"/>
      <c r="ATX23" s="11"/>
      <c r="ATY23" s="11"/>
      <c r="ATZ23" s="11"/>
      <c r="AUA23" s="11"/>
      <c r="AUB23" s="11"/>
      <c r="AUC23" s="11"/>
      <c r="AUD23" s="11"/>
      <c r="AUE23" s="11"/>
      <c r="AUF23" s="11"/>
      <c r="AUG23" s="11"/>
      <c r="AUH23" s="11"/>
      <c r="AUI23" s="11"/>
      <c r="AUJ23" s="11"/>
      <c r="AUK23" s="11"/>
      <c r="AUL23" s="11"/>
      <c r="AUM23" s="11"/>
      <c r="AUN23" s="11"/>
      <c r="AUO23" s="11"/>
      <c r="AUP23" s="11"/>
      <c r="AUQ23" s="11"/>
      <c r="AUR23" s="11"/>
      <c r="AUS23" s="11"/>
      <c r="AUT23" s="11"/>
      <c r="AUU23" s="11"/>
      <c r="AUV23" s="11"/>
      <c r="AUW23" s="11"/>
      <c r="AUX23" s="11"/>
      <c r="AUY23" s="11"/>
      <c r="AUZ23" s="11"/>
      <c r="AVA23" s="11"/>
      <c r="AVB23" s="11"/>
      <c r="AVC23" s="11"/>
      <c r="AVD23" s="11"/>
      <c r="AVE23" s="11"/>
      <c r="AVF23" s="11"/>
      <c r="AVG23" s="11"/>
      <c r="AVH23" s="11"/>
      <c r="AVI23" s="11"/>
      <c r="AVJ23" s="11"/>
      <c r="AVK23" s="11"/>
      <c r="AVL23" s="11"/>
      <c r="AVM23" s="11"/>
      <c r="AVN23" s="11"/>
      <c r="AVO23" s="11"/>
      <c r="AVP23" s="11"/>
      <c r="AVQ23" s="11"/>
      <c r="AVR23" s="11"/>
      <c r="AVS23" s="11"/>
      <c r="AVT23" s="11"/>
      <c r="AVU23" s="11"/>
      <c r="AVV23" s="11"/>
      <c r="AVW23" s="11"/>
      <c r="AVX23" s="11"/>
      <c r="AVY23" s="11"/>
      <c r="AVZ23" s="11"/>
      <c r="AWA23" s="11"/>
      <c r="AWB23" s="11"/>
      <c r="AWC23" s="11"/>
      <c r="AWD23" s="11"/>
      <c r="AWE23" s="11"/>
      <c r="AWF23" s="11"/>
      <c r="AWG23" s="11"/>
      <c r="AWH23" s="11"/>
      <c r="AWI23" s="11"/>
      <c r="AWJ23" s="11"/>
      <c r="AWK23" s="11"/>
      <c r="AWL23" s="11"/>
      <c r="AWM23" s="11"/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/>
      <c r="AWZ23" s="11"/>
      <c r="AXA23" s="11"/>
      <c r="AXB23" s="11"/>
      <c r="AXC23" s="11"/>
      <c r="AXD23" s="11"/>
      <c r="AXE23" s="11"/>
      <c r="AXF23" s="11"/>
      <c r="AXG23" s="11"/>
      <c r="AXH23" s="11"/>
      <c r="AXI23" s="11"/>
      <c r="AXJ23" s="11"/>
      <c r="AXK23" s="11"/>
      <c r="AXL23" s="11"/>
      <c r="AXM23" s="11"/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/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/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/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/>
      <c r="BAZ23" s="11"/>
      <c r="BBA23" s="11"/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/>
      <c r="BBR23" s="11"/>
      <c r="BBS23" s="11"/>
      <c r="BBT23" s="11"/>
      <c r="BBU23" s="11"/>
      <c r="BBV23" s="11"/>
      <c r="BBW23" s="11"/>
      <c r="BBX23" s="11"/>
      <c r="BBY23" s="11"/>
      <c r="BBZ23" s="11"/>
      <c r="BCA23" s="11"/>
      <c r="BCB23" s="11"/>
      <c r="BCC23" s="11"/>
      <c r="BCD23" s="11"/>
      <c r="BCE23" s="11"/>
      <c r="BCF23" s="11"/>
      <c r="BCG23" s="11"/>
      <c r="BCH23" s="11"/>
      <c r="BCI23" s="11"/>
      <c r="BCJ23" s="11"/>
      <c r="BCK23" s="11"/>
      <c r="BCL23" s="11"/>
      <c r="BCM23" s="11"/>
      <c r="BCN23" s="11"/>
      <c r="BCO23" s="11"/>
      <c r="BCP23" s="11"/>
      <c r="BCQ23" s="11"/>
      <c r="BCR23" s="11"/>
      <c r="BCS23" s="11"/>
      <c r="BCT23" s="11"/>
      <c r="BCU23" s="11"/>
      <c r="BCV23" s="11"/>
      <c r="BCW23" s="11"/>
      <c r="BCX23" s="11"/>
      <c r="BCY23" s="11"/>
      <c r="BCZ23" s="11"/>
      <c r="BDA23" s="11"/>
      <c r="BDB23" s="11"/>
      <c r="BDC23" s="11"/>
      <c r="BDD23" s="11"/>
      <c r="BDE23" s="11"/>
      <c r="BDF23" s="11"/>
      <c r="BDG23" s="11"/>
      <c r="BDH23" s="11"/>
      <c r="BDI23" s="11"/>
      <c r="BDJ23" s="11"/>
      <c r="BDK23" s="11"/>
      <c r="BDL23" s="11"/>
      <c r="BDM23" s="11"/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/>
      <c r="BHB23" s="11"/>
      <c r="BHC23" s="11"/>
      <c r="BHD23" s="11"/>
      <c r="BHE23" s="11"/>
      <c r="BHF23" s="11"/>
      <c r="BHG23" s="11"/>
      <c r="BHH23" s="11"/>
      <c r="BHI23" s="11"/>
      <c r="BHJ23" s="11"/>
      <c r="BHK23" s="11"/>
      <c r="BHL23" s="11"/>
      <c r="BHM23" s="11"/>
      <c r="BHN23" s="11"/>
      <c r="BHO23" s="11"/>
      <c r="BHP23" s="11"/>
      <c r="BHQ23" s="11"/>
      <c r="BHR23" s="11"/>
      <c r="BHS23" s="11"/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/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  <c r="BKJ23" s="11"/>
      <c r="BKK23" s="11"/>
      <c r="BKL23" s="11"/>
      <c r="BKM23" s="11"/>
      <c r="BKN23" s="11"/>
      <c r="BKO23" s="11"/>
      <c r="BKP23" s="11"/>
      <c r="BKQ23" s="11"/>
      <c r="BKR23" s="11"/>
      <c r="BKS23" s="11"/>
      <c r="BKT23" s="11"/>
      <c r="BKU23" s="11"/>
      <c r="BKV23" s="11"/>
      <c r="BKW23" s="11"/>
      <c r="BKX23" s="11"/>
      <c r="BKY23" s="11"/>
      <c r="BKZ23" s="11"/>
      <c r="BLA23" s="11"/>
      <c r="BLB23" s="11"/>
      <c r="BLC23" s="11"/>
      <c r="BLD23" s="11"/>
      <c r="BLE23" s="11"/>
      <c r="BLF23" s="11"/>
      <c r="BLG23" s="11"/>
      <c r="BLH23" s="11"/>
      <c r="BLI23" s="11"/>
      <c r="BLJ23" s="11"/>
      <c r="BLK23" s="11"/>
      <c r="BLL23" s="11"/>
      <c r="BLM23" s="11"/>
      <c r="BLN23" s="11"/>
      <c r="BLO23" s="11"/>
      <c r="BLP23" s="11"/>
      <c r="BLQ23" s="11"/>
      <c r="BLR23" s="11"/>
      <c r="BLS23" s="11"/>
      <c r="BLT23" s="11"/>
      <c r="BLU23" s="11"/>
      <c r="BLV23" s="11"/>
      <c r="BLW23" s="11"/>
      <c r="BLX23" s="11"/>
      <c r="BLY23" s="11"/>
      <c r="BLZ23" s="11"/>
      <c r="BMA23" s="11"/>
      <c r="BMB23" s="11"/>
      <c r="BMC23" s="11"/>
      <c r="BMD23" s="11"/>
      <c r="BME23" s="11"/>
      <c r="BMF23" s="11"/>
      <c r="BMG23" s="11"/>
      <c r="BMH23" s="11"/>
      <c r="BMI23" s="11"/>
      <c r="BMJ23" s="11"/>
      <c r="BMK23" s="11"/>
      <c r="BML23" s="11"/>
      <c r="BMM23" s="11"/>
      <c r="BMN23" s="11"/>
      <c r="BMO23" s="11"/>
      <c r="BMP23" s="11"/>
      <c r="BMQ23" s="11"/>
      <c r="BMR23" s="11"/>
      <c r="BMS23" s="11"/>
      <c r="BMT23" s="11"/>
      <c r="BMU23" s="11"/>
      <c r="BMV23" s="11"/>
      <c r="BMW23" s="11"/>
      <c r="BMX23" s="11"/>
      <c r="BMY23" s="11"/>
      <c r="BMZ23" s="11"/>
      <c r="BNA23" s="11"/>
      <c r="BNB23" s="11"/>
      <c r="BNC23" s="11"/>
      <c r="BND23" s="11"/>
      <c r="BNE23" s="11"/>
      <c r="BNF23" s="11"/>
      <c r="BNG23" s="11"/>
      <c r="BNH23" s="11"/>
      <c r="BNI23" s="11"/>
      <c r="BNJ23" s="11"/>
      <c r="BNK23" s="11"/>
      <c r="BNL23" s="11"/>
      <c r="BNM23" s="11"/>
      <c r="BNN23" s="11"/>
      <c r="BNO23" s="11"/>
      <c r="BNP23" s="11"/>
      <c r="BNQ23" s="11"/>
      <c r="BNR23" s="11"/>
      <c r="BNS23" s="11"/>
      <c r="BNT23" s="11"/>
      <c r="BNU23" s="11"/>
      <c r="BNV23" s="11"/>
      <c r="BNW23" s="11"/>
      <c r="BNX23" s="11"/>
      <c r="BNY23" s="11"/>
      <c r="BNZ23" s="11"/>
      <c r="BOA23" s="11"/>
      <c r="BOB23" s="11"/>
      <c r="BOC23" s="11"/>
      <c r="BOD23" s="11"/>
      <c r="BOE23" s="11"/>
      <c r="BOF23" s="11"/>
      <c r="BOG23" s="11"/>
      <c r="BOH23" s="11"/>
      <c r="BOI23" s="11"/>
      <c r="BOJ23" s="11"/>
      <c r="BOK23" s="11"/>
      <c r="BOL23" s="11"/>
      <c r="BOM23" s="11"/>
      <c r="BON23" s="11"/>
      <c r="BOO23" s="11"/>
      <c r="BOP23" s="11"/>
      <c r="BOQ23" s="11"/>
      <c r="BOR23" s="11"/>
      <c r="BOS23" s="11"/>
      <c r="BOT23" s="11"/>
      <c r="BOU23" s="11"/>
      <c r="BOV23" s="11"/>
      <c r="BOW23" s="11"/>
      <c r="BOX23" s="11"/>
      <c r="BOY23" s="11"/>
      <c r="BOZ23" s="11"/>
      <c r="BPA23" s="11"/>
      <c r="BPB23" s="11"/>
      <c r="BPC23" s="11"/>
      <c r="BPD23" s="11"/>
      <c r="BPE23" s="11"/>
      <c r="BPF23" s="11"/>
      <c r="BPG23" s="11"/>
      <c r="BPH23" s="11"/>
      <c r="BPI23" s="11"/>
      <c r="BPJ23" s="11"/>
      <c r="BPK23" s="11"/>
      <c r="BPL23" s="11"/>
      <c r="BPM23" s="11"/>
      <c r="BPN23" s="11"/>
      <c r="BPO23" s="11"/>
      <c r="BPP23" s="11"/>
      <c r="BPQ23" s="11"/>
      <c r="BPR23" s="11"/>
      <c r="BPS23" s="11"/>
      <c r="BPT23" s="11"/>
      <c r="BPU23" s="11"/>
      <c r="BPV23" s="11"/>
      <c r="BPW23" s="11"/>
      <c r="BPX23" s="11"/>
      <c r="BPY23" s="11"/>
      <c r="BPZ23" s="11"/>
      <c r="BQA23" s="11"/>
      <c r="BQB23" s="11"/>
      <c r="BQC23" s="11"/>
      <c r="BQD23" s="11"/>
      <c r="BQE23" s="11"/>
      <c r="BQF23" s="11"/>
      <c r="BQG23" s="11"/>
      <c r="BQH23" s="11"/>
      <c r="BQI23" s="11"/>
      <c r="BQJ23" s="11"/>
      <c r="BQK23" s="11"/>
      <c r="BQL23" s="11"/>
      <c r="BQM23" s="11"/>
      <c r="BQN23" s="11"/>
      <c r="BQO23" s="11"/>
      <c r="BQP23" s="11"/>
      <c r="BQQ23" s="11"/>
      <c r="BQR23" s="11"/>
      <c r="BQS23" s="11"/>
      <c r="BQT23" s="11"/>
      <c r="BQU23" s="11"/>
      <c r="BQV23" s="11"/>
      <c r="BQW23" s="11"/>
      <c r="BQX23" s="11"/>
      <c r="BQY23" s="11"/>
      <c r="BQZ23" s="11"/>
      <c r="BRA23" s="11"/>
      <c r="BRB23" s="11"/>
      <c r="BRC23" s="11"/>
      <c r="BRD23" s="11"/>
      <c r="BRE23" s="11"/>
      <c r="BRF23" s="11"/>
      <c r="BRG23" s="11"/>
      <c r="BRH23" s="11"/>
      <c r="BRI23" s="11"/>
      <c r="BRJ23" s="11"/>
      <c r="BRK23" s="11"/>
      <c r="BRL23" s="11"/>
      <c r="BRM23" s="11"/>
      <c r="BRN23" s="11"/>
      <c r="BRO23" s="11"/>
      <c r="BRP23" s="11"/>
      <c r="BRQ23" s="11"/>
      <c r="BRR23" s="11"/>
      <c r="BRS23" s="11"/>
      <c r="BRT23" s="11"/>
      <c r="BRU23" s="11"/>
      <c r="BRV23" s="11"/>
      <c r="BRW23" s="11"/>
      <c r="BRX23" s="11"/>
      <c r="BRY23" s="11"/>
      <c r="BRZ23" s="11"/>
      <c r="BSA23" s="11"/>
      <c r="BSB23" s="11"/>
      <c r="BSC23" s="11"/>
      <c r="BSD23" s="11"/>
      <c r="BSE23" s="11"/>
      <c r="BSF23" s="11"/>
      <c r="BSG23" s="11"/>
      <c r="BSH23" s="11"/>
      <c r="BSI23" s="11"/>
      <c r="BSJ23" s="11"/>
      <c r="BSK23" s="11"/>
      <c r="BSL23" s="11"/>
      <c r="BSM23" s="11"/>
      <c r="BSN23" s="11"/>
      <c r="BSO23" s="11"/>
      <c r="BSP23" s="11"/>
      <c r="BSQ23" s="11"/>
      <c r="BSR23" s="11"/>
      <c r="BSS23" s="11"/>
      <c r="BST23" s="11"/>
      <c r="BSU23" s="11"/>
      <c r="BSV23" s="11"/>
      <c r="BSW23" s="11"/>
      <c r="BSX23" s="11"/>
      <c r="BSY23" s="11"/>
      <c r="BSZ23" s="11"/>
      <c r="BTA23" s="11"/>
      <c r="BTB23" s="11"/>
      <c r="BTC23" s="11"/>
      <c r="BTD23" s="11"/>
      <c r="BTE23" s="11"/>
      <c r="BTF23" s="11"/>
      <c r="BTG23" s="11"/>
      <c r="BTH23" s="11"/>
      <c r="BTI23" s="11"/>
      <c r="BTJ23" s="11"/>
      <c r="BTK23" s="11"/>
      <c r="BTL23" s="11"/>
      <c r="BTM23" s="11"/>
      <c r="BTN23" s="11"/>
      <c r="BTO23" s="11"/>
      <c r="BTP23" s="11"/>
      <c r="BTQ23" s="11"/>
      <c r="BTR23" s="11"/>
      <c r="BTS23" s="11"/>
      <c r="BTT23" s="11"/>
      <c r="BTU23" s="11"/>
      <c r="BTV23" s="11"/>
      <c r="BTW23" s="11"/>
      <c r="BTX23" s="11"/>
      <c r="BTY23" s="11"/>
      <c r="BTZ23" s="11"/>
      <c r="BUA23" s="11"/>
      <c r="BUB23" s="11"/>
      <c r="BUC23" s="11"/>
      <c r="BUD23" s="11"/>
      <c r="BUE23" s="11"/>
      <c r="BUF23" s="11"/>
      <c r="BUG23" s="11"/>
      <c r="BUH23" s="11"/>
      <c r="BUI23" s="11"/>
      <c r="BUJ23" s="11"/>
      <c r="BUK23" s="11"/>
      <c r="BUL23" s="11"/>
      <c r="BUM23" s="11"/>
      <c r="BUN23" s="11"/>
      <c r="BUO23" s="11"/>
      <c r="BUP23" s="11"/>
      <c r="BUQ23" s="11"/>
      <c r="BUR23" s="11"/>
      <c r="BUS23" s="11"/>
      <c r="BUT23" s="11"/>
      <c r="BUU23" s="11"/>
      <c r="BUV23" s="11"/>
      <c r="BUW23" s="11"/>
      <c r="BUX23" s="11"/>
      <c r="BUY23" s="11"/>
      <c r="BUZ23" s="11"/>
      <c r="BVA23" s="11"/>
      <c r="BVB23" s="11"/>
      <c r="BVC23" s="11"/>
      <c r="BVD23" s="11"/>
      <c r="BVE23" s="11"/>
      <c r="BVF23" s="11"/>
      <c r="BVG23" s="11"/>
      <c r="BVH23" s="11"/>
      <c r="BVI23" s="11"/>
      <c r="BVJ23" s="11"/>
      <c r="BVK23" s="11"/>
      <c r="BVL23" s="11"/>
      <c r="BVM23" s="11"/>
      <c r="BVN23" s="11"/>
      <c r="BVO23" s="11"/>
      <c r="BVP23" s="11"/>
      <c r="BVQ23" s="11"/>
      <c r="BVR23" s="11"/>
      <c r="BVS23" s="11"/>
      <c r="BVT23" s="11"/>
      <c r="BVU23" s="11"/>
      <c r="BVV23" s="11"/>
      <c r="BVW23" s="11"/>
      <c r="BVX23" s="11"/>
      <c r="BVY23" s="11"/>
      <c r="BVZ23" s="11"/>
      <c r="BWA23" s="11"/>
      <c r="BWB23" s="11"/>
      <c r="BWC23" s="11"/>
      <c r="BWD23" s="11"/>
      <c r="BWE23" s="11"/>
      <c r="BWF23" s="11"/>
      <c r="BWG23" s="11"/>
      <c r="BWH23" s="11"/>
      <c r="BWI23" s="11"/>
      <c r="BWJ23" s="11"/>
      <c r="BWK23" s="11"/>
      <c r="BWL23" s="11"/>
      <c r="BWM23" s="11"/>
      <c r="BWN23" s="11"/>
      <c r="BWO23" s="11"/>
      <c r="BWP23" s="11"/>
      <c r="BWQ23" s="11"/>
      <c r="BWR23" s="11"/>
      <c r="BWS23" s="11"/>
      <c r="BWT23" s="11"/>
      <c r="BWU23" s="11"/>
      <c r="BWV23" s="11"/>
      <c r="BWW23" s="11"/>
      <c r="BWX23" s="11"/>
      <c r="BWY23" s="11"/>
      <c r="BWZ23" s="11"/>
      <c r="BXA23" s="11"/>
      <c r="BXB23" s="11"/>
      <c r="BXC23" s="11"/>
      <c r="BXD23" s="11"/>
      <c r="BXE23" s="11"/>
      <c r="BXF23" s="11"/>
      <c r="BXG23" s="11"/>
      <c r="BXH23" s="11"/>
      <c r="BXI23" s="11"/>
      <c r="BXJ23" s="11"/>
      <c r="BXK23" s="11"/>
      <c r="BXL23" s="11"/>
      <c r="BXM23" s="11"/>
      <c r="BXN23" s="11"/>
      <c r="BXO23" s="11"/>
      <c r="BXP23" s="11"/>
      <c r="BXQ23" s="11"/>
      <c r="BXR23" s="11"/>
      <c r="BXS23" s="11"/>
      <c r="BXT23" s="11"/>
      <c r="BXU23" s="11"/>
      <c r="BXV23" s="11"/>
      <c r="BXW23" s="11"/>
      <c r="BXX23" s="11"/>
      <c r="BXY23" s="11"/>
      <c r="BXZ23" s="11"/>
      <c r="BYA23" s="11"/>
      <c r="BYB23" s="11"/>
      <c r="BYC23" s="11"/>
      <c r="BYD23" s="11"/>
      <c r="BYE23" s="11"/>
      <c r="BYF23" s="11"/>
      <c r="BYG23" s="11"/>
      <c r="BYH23" s="11"/>
      <c r="BYI23" s="11"/>
      <c r="BYJ23" s="11"/>
      <c r="BYK23" s="11"/>
      <c r="BYL23" s="11"/>
      <c r="BYM23" s="11"/>
      <c r="BYN23" s="11"/>
      <c r="BYO23" s="11"/>
      <c r="BYP23" s="11"/>
      <c r="BYQ23" s="11"/>
      <c r="BYR23" s="11"/>
      <c r="BYS23" s="11"/>
      <c r="BYT23" s="11"/>
      <c r="BYU23" s="11"/>
      <c r="BYV23" s="11"/>
      <c r="BYW23" s="11"/>
      <c r="BYX23" s="11"/>
      <c r="BYY23" s="11"/>
      <c r="BYZ23" s="11"/>
      <c r="BZA23" s="11"/>
      <c r="BZB23" s="11"/>
      <c r="BZC23" s="11"/>
      <c r="BZD23" s="11"/>
      <c r="BZE23" s="11"/>
      <c r="BZF23" s="11"/>
      <c r="BZG23" s="11"/>
      <c r="BZH23" s="11"/>
      <c r="BZI23" s="11"/>
      <c r="BZJ23" s="11"/>
      <c r="BZK23" s="11"/>
      <c r="BZL23" s="11"/>
      <c r="BZM23" s="11"/>
      <c r="BZN23" s="11"/>
      <c r="BZO23" s="11"/>
      <c r="BZP23" s="11"/>
      <c r="BZQ23" s="11"/>
      <c r="BZR23" s="11"/>
      <c r="BZS23" s="11"/>
      <c r="BZT23" s="11"/>
      <c r="BZU23" s="11"/>
      <c r="BZV23" s="11"/>
      <c r="BZW23" s="11"/>
      <c r="BZX23" s="11"/>
      <c r="BZY23" s="11"/>
      <c r="BZZ23" s="11"/>
      <c r="CAA23" s="11"/>
      <c r="CAB23" s="11"/>
      <c r="CAC23" s="11"/>
      <c r="CAD23" s="11"/>
      <c r="CAE23" s="11"/>
      <c r="CAF23" s="11"/>
      <c r="CAG23" s="11"/>
      <c r="CAH23" s="11"/>
      <c r="CAI23" s="11"/>
      <c r="CAJ23" s="11"/>
      <c r="CAK23" s="11"/>
      <c r="CAL23" s="11"/>
      <c r="CAM23" s="11"/>
      <c r="CAN23" s="11"/>
      <c r="CAO23" s="11"/>
      <c r="CAP23" s="11"/>
      <c r="CAQ23" s="11"/>
      <c r="CAR23" s="11"/>
      <c r="CAS23" s="11"/>
      <c r="CAT23" s="11"/>
      <c r="CAU23" s="11"/>
      <c r="CAV23" s="11"/>
      <c r="CAW23" s="11"/>
      <c r="CAX23" s="11"/>
      <c r="CAY23" s="11"/>
      <c r="CAZ23" s="11"/>
      <c r="CBA23" s="11"/>
      <c r="CBB23" s="11"/>
      <c r="CBC23" s="11"/>
      <c r="CBD23" s="11"/>
      <c r="CBE23" s="11"/>
      <c r="CBF23" s="11"/>
      <c r="CBG23" s="11"/>
      <c r="CBH23" s="11"/>
      <c r="CBI23" s="11"/>
      <c r="CBJ23" s="11"/>
      <c r="CBK23" s="11"/>
      <c r="CBL23" s="11"/>
      <c r="CBM23" s="11"/>
      <c r="CBN23" s="11"/>
      <c r="CBO23" s="11"/>
      <c r="CBP23" s="11"/>
      <c r="CBQ23" s="11"/>
      <c r="CBR23" s="11"/>
      <c r="CBS23" s="11"/>
      <c r="CBT23" s="11"/>
      <c r="CBU23" s="11"/>
      <c r="CBV23" s="11"/>
      <c r="CBW23" s="11"/>
      <c r="CBX23" s="11"/>
      <c r="CBY23" s="11"/>
      <c r="CBZ23" s="11"/>
      <c r="CCA23" s="11"/>
      <c r="CCB23" s="11"/>
      <c r="CCC23" s="11"/>
      <c r="CCD23" s="11"/>
      <c r="CCE23" s="11"/>
      <c r="CCF23" s="11"/>
      <c r="CCG23" s="11"/>
      <c r="CCH23" s="11"/>
      <c r="CCI23" s="11"/>
      <c r="CCJ23" s="11"/>
      <c r="CCK23" s="11"/>
      <c r="CCL23" s="11"/>
      <c r="CCM23" s="11"/>
      <c r="CCN23" s="11"/>
      <c r="CCO23" s="11"/>
      <c r="CCP23" s="11"/>
      <c r="CCQ23" s="11"/>
      <c r="CCR23" s="11"/>
      <c r="CCS23" s="11"/>
      <c r="CCT23" s="11"/>
      <c r="CCU23" s="11"/>
      <c r="CCV23" s="11"/>
      <c r="CCW23" s="11"/>
      <c r="CCX23" s="11"/>
      <c r="CCY23" s="11"/>
      <c r="CCZ23" s="11"/>
      <c r="CDA23" s="11"/>
      <c r="CDB23" s="11"/>
      <c r="CDC23" s="11"/>
      <c r="CDD23" s="11"/>
      <c r="CDE23" s="11"/>
      <c r="CDF23" s="11"/>
      <c r="CDG23" s="11"/>
      <c r="CDH23" s="11"/>
      <c r="CDI23" s="11"/>
      <c r="CDJ23" s="11"/>
      <c r="CDK23" s="11"/>
      <c r="CDL23" s="11"/>
      <c r="CDM23" s="11"/>
      <c r="CDN23" s="11"/>
      <c r="CDO23" s="11"/>
      <c r="CDP23" s="11"/>
      <c r="CDQ23" s="11"/>
      <c r="CDR23" s="11"/>
      <c r="CDS23" s="11"/>
      <c r="CDT23" s="11"/>
      <c r="CDU23" s="11"/>
      <c r="CDV23" s="11"/>
      <c r="CDW23" s="11"/>
      <c r="CDX23" s="11"/>
      <c r="CDY23" s="11"/>
      <c r="CDZ23" s="11"/>
      <c r="CEA23" s="11"/>
      <c r="CEB23" s="11"/>
      <c r="CEC23" s="11"/>
      <c r="CED23" s="11"/>
      <c r="CEE23" s="11"/>
      <c r="CEF23" s="11"/>
      <c r="CEG23" s="11"/>
      <c r="CEH23" s="11"/>
      <c r="CEI23" s="11"/>
      <c r="CEJ23" s="11"/>
      <c r="CEK23" s="11"/>
      <c r="CEL23" s="11"/>
      <c r="CEM23" s="11"/>
      <c r="CEN23" s="11"/>
      <c r="CEO23" s="11"/>
      <c r="CEP23" s="11"/>
      <c r="CEQ23" s="11"/>
      <c r="CER23" s="11"/>
      <c r="CES23" s="11"/>
      <c r="CET23" s="11"/>
      <c r="CEU23" s="11"/>
      <c r="CEV23" s="11"/>
      <c r="CEW23" s="11"/>
      <c r="CEX23" s="11"/>
      <c r="CEY23" s="11"/>
      <c r="CEZ23" s="11"/>
      <c r="CFA23" s="11"/>
      <c r="CFB23" s="11"/>
      <c r="CFC23" s="11"/>
      <c r="CFD23" s="11"/>
      <c r="CFE23" s="11"/>
      <c r="CFF23" s="11"/>
      <c r="CFG23" s="11"/>
      <c r="CFH23" s="11"/>
      <c r="CFI23" s="11"/>
      <c r="CFJ23" s="11"/>
      <c r="CFK23" s="11"/>
      <c r="CFL23" s="11"/>
      <c r="CFM23" s="11"/>
      <c r="CFN23" s="11"/>
      <c r="CFO23" s="11"/>
      <c r="CFP23" s="11"/>
      <c r="CFQ23" s="11"/>
      <c r="CFR23" s="11"/>
      <c r="CFS23" s="11"/>
      <c r="CFT23" s="11"/>
      <c r="CFU23" s="11"/>
      <c r="CFV23" s="11"/>
      <c r="CFW23" s="11"/>
      <c r="CFX23" s="11"/>
      <c r="CFY23" s="11"/>
      <c r="CFZ23" s="11"/>
      <c r="CGA23" s="11"/>
      <c r="CGB23" s="11"/>
      <c r="CGC23" s="11"/>
      <c r="CGD23" s="11"/>
      <c r="CGE23" s="11"/>
      <c r="CGF23" s="11"/>
      <c r="CGG23" s="11"/>
      <c r="CGH23" s="11"/>
      <c r="CGI23" s="11"/>
      <c r="CGJ23" s="11"/>
      <c r="CGK23" s="11"/>
      <c r="CGL23" s="11"/>
      <c r="CGM23" s="11"/>
      <c r="CGN23" s="11"/>
      <c r="CGO23" s="11"/>
      <c r="CGP23" s="11"/>
      <c r="CGQ23" s="11"/>
      <c r="CGR23" s="11"/>
      <c r="CGS23" s="11"/>
      <c r="CGT23" s="11"/>
      <c r="CGU23" s="11"/>
      <c r="CGV23" s="11"/>
      <c r="CGW23" s="11"/>
      <c r="CGX23" s="11"/>
      <c r="CGY23" s="11"/>
      <c r="CGZ23" s="11"/>
      <c r="CHA23" s="11"/>
      <c r="CHB23" s="11"/>
      <c r="CHC23" s="11"/>
      <c r="CHD23" s="11"/>
      <c r="CHE23" s="11"/>
      <c r="CHF23" s="11"/>
      <c r="CHG23" s="11"/>
      <c r="CHH23" s="11"/>
      <c r="CHI23" s="11"/>
      <c r="CHJ23" s="11"/>
      <c r="CHK23" s="11"/>
      <c r="CHL23" s="11"/>
      <c r="CHM23" s="11"/>
      <c r="CHN23" s="11"/>
      <c r="CHO23" s="11"/>
      <c r="CHP23" s="11"/>
      <c r="CHQ23" s="11"/>
      <c r="CHR23" s="11"/>
      <c r="CHS23" s="11"/>
      <c r="CHT23" s="11"/>
      <c r="CHU23" s="11"/>
      <c r="CHV23" s="11"/>
      <c r="CHW23" s="11"/>
      <c r="CHX23" s="11"/>
      <c r="CHY23" s="11"/>
      <c r="CHZ23" s="11"/>
      <c r="CIA23" s="11"/>
      <c r="CIB23" s="11"/>
      <c r="CIC23" s="11"/>
      <c r="CID23" s="11"/>
      <c r="CIE23" s="11"/>
      <c r="CIF23" s="11"/>
      <c r="CIG23" s="11"/>
      <c r="CIH23" s="11"/>
      <c r="CII23" s="11"/>
      <c r="CIJ23" s="11"/>
      <c r="CIK23" s="11"/>
      <c r="CIL23" s="11"/>
      <c r="CIM23" s="11"/>
      <c r="CIN23" s="11"/>
      <c r="CIO23" s="11"/>
      <c r="CIP23" s="11"/>
      <c r="CIQ23" s="11"/>
      <c r="CIR23" s="11"/>
      <c r="CIS23" s="11"/>
      <c r="CIT23" s="11"/>
      <c r="CIU23" s="11"/>
      <c r="CIV23" s="11"/>
      <c r="CIW23" s="11"/>
      <c r="CIX23" s="11"/>
      <c r="CIY23" s="11"/>
      <c r="CIZ23" s="11"/>
      <c r="CJA23" s="11"/>
      <c r="CJB23" s="11"/>
      <c r="CJC23" s="11"/>
      <c r="CJD23" s="11"/>
      <c r="CJE23" s="11"/>
      <c r="CJF23" s="11"/>
      <c r="CJG23" s="11"/>
      <c r="CJH23" s="11"/>
      <c r="CJI23" s="11"/>
      <c r="CJJ23" s="11"/>
      <c r="CJK23" s="11"/>
      <c r="CJL23" s="11"/>
      <c r="CJM23" s="11"/>
      <c r="CJN23" s="11"/>
      <c r="CJO23" s="11"/>
      <c r="CJP23" s="11"/>
      <c r="CJQ23" s="11"/>
      <c r="CJR23" s="11"/>
      <c r="CJS23" s="11"/>
      <c r="CJT23" s="11"/>
      <c r="CJU23" s="11"/>
      <c r="CJV23" s="11"/>
      <c r="CJW23" s="11"/>
      <c r="CJX23" s="11"/>
      <c r="CJY23" s="11"/>
      <c r="CJZ23" s="11"/>
      <c r="CKA23" s="11"/>
      <c r="CKB23" s="11"/>
      <c r="CKC23" s="11"/>
      <c r="CKD23" s="11"/>
      <c r="CKE23" s="11"/>
      <c r="CKF23" s="11"/>
      <c r="CKG23" s="11"/>
      <c r="CKH23" s="11"/>
      <c r="CKI23" s="11"/>
      <c r="CKJ23" s="11"/>
      <c r="CKK23" s="11"/>
      <c r="CKL23" s="11"/>
      <c r="CKM23" s="11"/>
      <c r="CKN23" s="11"/>
      <c r="CKO23" s="11"/>
      <c r="CKP23" s="11"/>
      <c r="CKQ23" s="11"/>
      <c r="CKR23" s="11"/>
      <c r="CKS23" s="11"/>
      <c r="CKT23" s="11"/>
      <c r="CKU23" s="11"/>
      <c r="CKV23" s="11"/>
      <c r="CKW23" s="11"/>
      <c r="CKX23" s="11"/>
      <c r="CKY23" s="11"/>
      <c r="CKZ23" s="11"/>
      <c r="CLA23" s="11"/>
      <c r="CLB23" s="11"/>
      <c r="CLC23" s="11"/>
      <c r="CLD23" s="11"/>
      <c r="CLE23" s="11"/>
      <c r="CLF23" s="11"/>
      <c r="CLG23" s="11"/>
      <c r="CLH23" s="11"/>
      <c r="CLI23" s="11"/>
      <c r="CLJ23" s="11"/>
      <c r="CLK23" s="11"/>
      <c r="CLL23" s="11"/>
      <c r="CLM23" s="11"/>
      <c r="CLN23" s="11"/>
      <c r="CLO23" s="11"/>
      <c r="CLP23" s="11"/>
      <c r="CLQ23" s="11"/>
      <c r="CLR23" s="11"/>
      <c r="CLS23" s="11"/>
      <c r="CLT23" s="11"/>
      <c r="CLU23" s="11"/>
      <c r="CLV23" s="11"/>
      <c r="CLW23" s="11"/>
      <c r="CLX23" s="11"/>
      <c r="CLY23" s="11"/>
      <c r="CLZ23" s="11"/>
      <c r="CMA23" s="11"/>
      <c r="CMB23" s="11"/>
      <c r="CMC23" s="11"/>
      <c r="CMD23" s="11"/>
      <c r="CME23" s="11"/>
      <c r="CMF23" s="11"/>
      <c r="CMG23" s="11"/>
      <c r="CMH23" s="11"/>
      <c r="CMI23" s="11"/>
      <c r="CMJ23" s="11"/>
      <c r="CMK23" s="11"/>
      <c r="CML23" s="11"/>
      <c r="CMM23" s="11"/>
      <c r="CMN23" s="11"/>
      <c r="CMO23" s="11"/>
      <c r="CMP23" s="11"/>
      <c r="CMQ23" s="11"/>
      <c r="CMR23" s="11"/>
      <c r="CMS23" s="11"/>
      <c r="CMT23" s="11"/>
      <c r="CMU23" s="11"/>
      <c r="CMV23" s="11"/>
      <c r="CMW23" s="11"/>
      <c r="CMX23" s="11"/>
      <c r="CMY23" s="11"/>
      <c r="CMZ23" s="11"/>
      <c r="CNA23" s="11"/>
      <c r="CNB23" s="11"/>
      <c r="CNC23" s="11"/>
      <c r="CND23" s="11"/>
      <c r="CNE23" s="11"/>
      <c r="CNF23" s="11"/>
      <c r="CNG23" s="11"/>
      <c r="CNH23" s="11"/>
      <c r="CNI23" s="11"/>
      <c r="CNJ23" s="11"/>
      <c r="CNK23" s="11"/>
      <c r="CNL23" s="11"/>
      <c r="CNM23" s="11"/>
      <c r="CNN23" s="11"/>
      <c r="CNO23" s="11"/>
      <c r="CNP23" s="11"/>
      <c r="CNQ23" s="11"/>
      <c r="CNR23" s="11"/>
      <c r="CNS23" s="11"/>
      <c r="CNT23" s="11"/>
      <c r="CNU23" s="11"/>
      <c r="CNV23" s="11"/>
      <c r="CNW23" s="11"/>
      <c r="CNX23" s="11"/>
      <c r="CNY23" s="11"/>
      <c r="CNZ23" s="11"/>
      <c r="COA23" s="11"/>
      <c r="COB23" s="11"/>
      <c r="COC23" s="11"/>
      <c r="COD23" s="11"/>
      <c r="COE23" s="11"/>
      <c r="COF23" s="11"/>
      <c r="COG23" s="11"/>
      <c r="COH23" s="11"/>
      <c r="COI23" s="11"/>
      <c r="COJ23" s="11"/>
      <c r="COK23" s="11"/>
      <c r="COL23" s="11"/>
      <c r="COM23" s="11"/>
      <c r="CON23" s="11"/>
      <c r="COO23" s="11"/>
      <c r="COP23" s="11"/>
      <c r="COQ23" s="11"/>
      <c r="COR23" s="11"/>
      <c r="COS23" s="11"/>
      <c r="COT23" s="11"/>
      <c r="COU23" s="11"/>
      <c r="COV23" s="11"/>
      <c r="COW23" s="11"/>
      <c r="COX23" s="11"/>
      <c r="COY23" s="11"/>
      <c r="COZ23" s="11"/>
      <c r="CPA23" s="11"/>
      <c r="CPB23" s="11"/>
      <c r="CPC23" s="11"/>
      <c r="CPD23" s="11"/>
      <c r="CPE23" s="11"/>
      <c r="CPF23" s="11"/>
      <c r="CPG23" s="11"/>
      <c r="CPH23" s="11"/>
      <c r="CPI23" s="11"/>
      <c r="CPJ23" s="11"/>
      <c r="CPK23" s="11"/>
      <c r="CPL23" s="11"/>
      <c r="CPM23" s="11"/>
      <c r="CPN23" s="11"/>
      <c r="CPO23" s="11"/>
      <c r="CPP23" s="11"/>
      <c r="CPQ23" s="11"/>
      <c r="CPR23" s="11"/>
      <c r="CPS23" s="11"/>
      <c r="CPT23" s="11"/>
      <c r="CPU23" s="11"/>
      <c r="CPV23" s="11"/>
      <c r="CPW23" s="11"/>
      <c r="CPX23" s="11"/>
      <c r="CPY23" s="11"/>
      <c r="CPZ23" s="11"/>
      <c r="CQA23" s="11"/>
      <c r="CQB23" s="11"/>
      <c r="CQC23" s="11"/>
      <c r="CQD23" s="11"/>
      <c r="CQE23" s="11"/>
      <c r="CQF23" s="11"/>
      <c r="CQG23" s="11"/>
      <c r="CQH23" s="11"/>
      <c r="CQI23" s="11"/>
      <c r="CQJ23" s="11"/>
      <c r="CQK23" s="11"/>
      <c r="CQL23" s="11"/>
      <c r="CQM23" s="11"/>
      <c r="CQN23" s="11"/>
      <c r="CQO23" s="11"/>
      <c r="CQP23" s="11"/>
      <c r="CQQ23" s="11"/>
      <c r="CQR23" s="11"/>
      <c r="CQS23" s="11"/>
      <c r="CQT23" s="11"/>
      <c r="CQU23" s="11"/>
      <c r="CQV23" s="11"/>
      <c r="CQW23" s="11"/>
      <c r="CQX23" s="11"/>
      <c r="CQY23" s="11"/>
      <c r="CQZ23" s="11"/>
      <c r="CRA23" s="11"/>
      <c r="CRB23" s="11"/>
      <c r="CRC23" s="11"/>
      <c r="CRD23" s="11"/>
      <c r="CRE23" s="11"/>
      <c r="CRF23" s="11"/>
      <c r="CRG23" s="11"/>
      <c r="CRH23" s="11"/>
      <c r="CRI23" s="11"/>
      <c r="CRJ23" s="11"/>
      <c r="CRK23" s="11"/>
      <c r="CRL23" s="11"/>
      <c r="CRM23" s="11"/>
      <c r="CRN23" s="11"/>
      <c r="CRO23" s="11"/>
      <c r="CRP23" s="11"/>
      <c r="CRQ23" s="11"/>
      <c r="CRR23" s="11"/>
      <c r="CRS23" s="11"/>
      <c r="CRT23" s="11"/>
      <c r="CRU23" s="11"/>
      <c r="CRV23" s="11"/>
      <c r="CRW23" s="11"/>
      <c r="CRX23" s="11"/>
      <c r="CRY23" s="11"/>
      <c r="CRZ23" s="11"/>
      <c r="CSA23" s="11"/>
      <c r="CSB23" s="11"/>
      <c r="CSC23" s="11"/>
      <c r="CSD23" s="11"/>
      <c r="CSE23" s="11"/>
      <c r="CSF23" s="11"/>
      <c r="CSG23" s="11"/>
      <c r="CSH23" s="11"/>
      <c r="CSI23" s="11"/>
      <c r="CSJ23" s="11"/>
      <c r="CSK23" s="11"/>
      <c r="CSL23" s="11"/>
      <c r="CSM23" s="11"/>
      <c r="CSN23" s="11"/>
      <c r="CSO23" s="11"/>
      <c r="CSP23" s="11"/>
      <c r="CSQ23" s="11"/>
      <c r="CSR23" s="11"/>
      <c r="CSS23" s="11"/>
      <c r="CST23" s="11"/>
      <c r="CSU23" s="11"/>
      <c r="CSV23" s="11"/>
      <c r="CSW23" s="11"/>
      <c r="CSX23" s="11"/>
      <c r="CSY23" s="11"/>
      <c r="CSZ23" s="11"/>
      <c r="CTA23" s="11"/>
      <c r="CTB23" s="11"/>
      <c r="CTC23" s="11"/>
      <c r="CTD23" s="11"/>
      <c r="CTE23" s="11"/>
      <c r="CTF23" s="11"/>
      <c r="CTG23" s="11"/>
      <c r="CTH23" s="11"/>
      <c r="CTI23" s="11"/>
      <c r="CTJ23" s="11"/>
      <c r="CTK23" s="11"/>
      <c r="CTL23" s="1"/>
      <c r="CTM23" s="1"/>
      <c r="CTN23" s="1"/>
    </row>
    <row r="24" s="5" customFormat="1" ht="62" hidden="1" customHeight="1" spans="1:1024 1025:2562">
      <c r="A24" s="37" t="s">
        <v>117</v>
      </c>
      <c r="B24" s="30" t="s">
        <v>118</v>
      </c>
      <c r="C24" s="30" t="s">
        <v>22</v>
      </c>
      <c r="D24" s="30" t="s">
        <v>119</v>
      </c>
      <c r="E24" s="35">
        <v>80000</v>
      </c>
      <c r="F24" s="35">
        <v>5000</v>
      </c>
      <c r="G24" s="35">
        <v>30000</v>
      </c>
      <c r="H24" s="35">
        <v>12150</v>
      </c>
      <c r="I24" s="35">
        <v>2740</v>
      </c>
      <c r="J24" s="35">
        <v>14890</v>
      </c>
      <c r="K24" s="28">
        <f t="shared" si="0"/>
        <v>0.496333333333333</v>
      </c>
      <c r="L24" s="35" t="s">
        <v>120</v>
      </c>
      <c r="M24" s="35" t="s">
        <v>120</v>
      </c>
      <c r="N24" s="30" t="s">
        <v>121</v>
      </c>
      <c r="O24" s="30" t="s">
        <v>122</v>
      </c>
      <c r="P24" s="30" t="s">
        <v>27</v>
      </c>
      <c r="Q24" s="30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/>
      <c r="AXA24" s="11"/>
      <c r="AXB24" s="11"/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  <c r="BKJ24" s="11"/>
      <c r="BKK24" s="11"/>
      <c r="BKL24" s="11"/>
      <c r="BKM24" s="11"/>
      <c r="BKN24" s="11"/>
      <c r="BKO24" s="11"/>
      <c r="BKP24" s="11"/>
      <c r="BKQ24" s="11"/>
      <c r="BKR24" s="11"/>
      <c r="BKS24" s="11"/>
      <c r="BKT24" s="11"/>
      <c r="BKU24" s="11"/>
      <c r="BKV24" s="11"/>
      <c r="BKW24" s="11"/>
      <c r="BKX24" s="11"/>
      <c r="BKY24" s="11"/>
      <c r="BKZ24" s="11"/>
      <c r="BLA24" s="11"/>
      <c r="BLB24" s="11"/>
      <c r="BLC24" s="11"/>
      <c r="BLD24" s="11"/>
      <c r="BLE24" s="11"/>
      <c r="BLF24" s="11"/>
      <c r="BLG24" s="11"/>
      <c r="BLH24" s="11"/>
      <c r="BLI24" s="11"/>
      <c r="BLJ24" s="11"/>
      <c r="BLK24" s="11"/>
      <c r="BLL24" s="11"/>
      <c r="BLM24" s="11"/>
      <c r="BLN24" s="11"/>
      <c r="BLO24" s="11"/>
      <c r="BLP24" s="11"/>
      <c r="BLQ24" s="11"/>
      <c r="BLR24" s="11"/>
      <c r="BLS24" s="11"/>
      <c r="BLT24" s="11"/>
      <c r="BLU24" s="11"/>
      <c r="BLV24" s="11"/>
      <c r="BLW24" s="11"/>
      <c r="BLX24" s="11"/>
      <c r="BLY24" s="11"/>
      <c r="BLZ24" s="11"/>
      <c r="BMA24" s="11"/>
      <c r="BMB24" s="11"/>
      <c r="BMC24" s="11"/>
      <c r="BMD24" s="11"/>
      <c r="BME24" s="11"/>
      <c r="BMF24" s="11"/>
      <c r="BMG24" s="11"/>
      <c r="BMH24" s="11"/>
      <c r="BMI24" s="11"/>
      <c r="BMJ24" s="11"/>
      <c r="BMK24" s="11"/>
      <c r="BML24" s="11"/>
      <c r="BMM24" s="11"/>
      <c r="BMN24" s="11"/>
      <c r="BMO24" s="11"/>
      <c r="BMP24" s="11"/>
      <c r="BMQ24" s="11"/>
      <c r="BMR24" s="11"/>
      <c r="BMS24" s="11"/>
      <c r="BMT24" s="11"/>
      <c r="BMU24" s="11"/>
      <c r="BMV24" s="11"/>
      <c r="BMW24" s="11"/>
      <c r="BMX24" s="11"/>
      <c r="BMY24" s="11"/>
      <c r="BMZ24" s="11"/>
      <c r="BNA24" s="11"/>
      <c r="BNB24" s="11"/>
      <c r="BNC24" s="11"/>
      <c r="BND24" s="11"/>
      <c r="BNE24" s="11"/>
      <c r="BNF24" s="11"/>
      <c r="BNG24" s="11"/>
      <c r="BNH24" s="11"/>
      <c r="BNI24" s="11"/>
      <c r="BNJ24" s="11"/>
      <c r="BNK24" s="11"/>
      <c r="BNL24" s="11"/>
      <c r="BNM24" s="11"/>
      <c r="BNN24" s="11"/>
      <c r="BNO24" s="11"/>
      <c r="BNP24" s="11"/>
      <c r="BNQ24" s="11"/>
      <c r="BNR24" s="11"/>
      <c r="BNS24" s="11"/>
      <c r="BNT24" s="11"/>
      <c r="BNU24" s="11"/>
      <c r="BNV24" s="11"/>
      <c r="BNW24" s="11"/>
      <c r="BNX24" s="11"/>
      <c r="BNY24" s="11"/>
      <c r="BNZ24" s="11"/>
      <c r="BOA24" s="11"/>
      <c r="BOB24" s="11"/>
      <c r="BOC24" s="11"/>
      <c r="BOD24" s="11"/>
      <c r="BOE24" s="11"/>
      <c r="BOF24" s="11"/>
      <c r="BOG24" s="11"/>
      <c r="BOH24" s="11"/>
      <c r="BOI24" s="11"/>
      <c r="BOJ24" s="11"/>
      <c r="BOK24" s="11"/>
      <c r="BOL24" s="11"/>
      <c r="BOM24" s="11"/>
      <c r="BON24" s="11"/>
      <c r="BOO24" s="11"/>
      <c r="BOP24" s="11"/>
      <c r="BOQ24" s="11"/>
      <c r="BOR24" s="11"/>
      <c r="BOS24" s="11"/>
      <c r="BOT24" s="11"/>
      <c r="BOU24" s="11"/>
      <c r="BOV24" s="11"/>
      <c r="BOW24" s="11"/>
      <c r="BOX24" s="11"/>
      <c r="BOY24" s="11"/>
      <c r="BOZ24" s="11"/>
      <c r="BPA24" s="11"/>
      <c r="BPB24" s="11"/>
      <c r="BPC24" s="11"/>
      <c r="BPD24" s="11"/>
      <c r="BPE24" s="11"/>
      <c r="BPF24" s="11"/>
      <c r="BPG24" s="11"/>
      <c r="BPH24" s="11"/>
      <c r="BPI24" s="11"/>
      <c r="BPJ24" s="11"/>
      <c r="BPK24" s="11"/>
      <c r="BPL24" s="11"/>
      <c r="BPM24" s="11"/>
      <c r="BPN24" s="11"/>
      <c r="BPO24" s="11"/>
      <c r="BPP24" s="11"/>
      <c r="BPQ24" s="11"/>
      <c r="BPR24" s="11"/>
      <c r="BPS24" s="11"/>
      <c r="BPT24" s="11"/>
      <c r="BPU24" s="11"/>
      <c r="BPV24" s="11"/>
      <c r="BPW24" s="11"/>
      <c r="BPX24" s="11"/>
      <c r="BPY24" s="11"/>
      <c r="BPZ24" s="11"/>
      <c r="BQA24" s="11"/>
      <c r="BQB24" s="11"/>
      <c r="BQC24" s="11"/>
      <c r="BQD24" s="11"/>
      <c r="BQE24" s="11"/>
      <c r="BQF24" s="11"/>
      <c r="BQG24" s="11"/>
      <c r="BQH24" s="11"/>
      <c r="BQI24" s="11"/>
      <c r="BQJ24" s="11"/>
      <c r="BQK24" s="11"/>
      <c r="BQL24" s="11"/>
      <c r="BQM24" s="11"/>
      <c r="BQN24" s="11"/>
      <c r="BQO24" s="11"/>
      <c r="BQP24" s="11"/>
      <c r="BQQ24" s="11"/>
      <c r="BQR24" s="11"/>
      <c r="BQS24" s="11"/>
      <c r="BQT24" s="11"/>
      <c r="BQU24" s="11"/>
      <c r="BQV24" s="11"/>
      <c r="BQW24" s="11"/>
      <c r="BQX24" s="11"/>
      <c r="BQY24" s="11"/>
      <c r="BQZ24" s="11"/>
      <c r="BRA24" s="11"/>
      <c r="BRB24" s="11"/>
      <c r="BRC24" s="11"/>
      <c r="BRD24" s="11"/>
      <c r="BRE24" s="11"/>
      <c r="BRF24" s="11"/>
      <c r="BRG24" s="11"/>
      <c r="BRH24" s="11"/>
      <c r="BRI24" s="11"/>
      <c r="BRJ24" s="11"/>
      <c r="BRK24" s="11"/>
      <c r="BRL24" s="11"/>
      <c r="BRM24" s="11"/>
      <c r="BRN24" s="11"/>
      <c r="BRO24" s="11"/>
      <c r="BRP24" s="11"/>
      <c r="BRQ24" s="11"/>
      <c r="BRR24" s="11"/>
      <c r="BRS24" s="11"/>
      <c r="BRT24" s="11"/>
      <c r="BRU24" s="11"/>
      <c r="BRV24" s="11"/>
      <c r="BRW24" s="11"/>
      <c r="BRX24" s="11"/>
      <c r="BRY24" s="11"/>
      <c r="BRZ24" s="11"/>
      <c r="BSA24" s="11"/>
      <c r="BSB24" s="11"/>
      <c r="BSC24" s="11"/>
      <c r="BSD24" s="11"/>
      <c r="BSE24" s="11"/>
      <c r="BSF24" s="11"/>
      <c r="BSG24" s="11"/>
      <c r="BSH24" s="11"/>
      <c r="BSI24" s="11"/>
      <c r="BSJ24" s="11"/>
      <c r="BSK24" s="11"/>
      <c r="BSL24" s="11"/>
      <c r="BSM24" s="11"/>
      <c r="BSN24" s="11"/>
      <c r="BSO24" s="11"/>
      <c r="BSP24" s="11"/>
      <c r="BSQ24" s="11"/>
      <c r="BSR24" s="11"/>
      <c r="BSS24" s="11"/>
      <c r="BST24" s="11"/>
      <c r="BSU24" s="11"/>
      <c r="BSV24" s="11"/>
      <c r="BSW24" s="11"/>
      <c r="BSX24" s="11"/>
      <c r="BSY24" s="11"/>
      <c r="BSZ24" s="11"/>
      <c r="BTA24" s="11"/>
      <c r="BTB24" s="11"/>
      <c r="BTC24" s="11"/>
      <c r="BTD24" s="11"/>
      <c r="BTE24" s="11"/>
      <c r="BTF24" s="11"/>
      <c r="BTG24" s="11"/>
      <c r="BTH24" s="11"/>
      <c r="BTI24" s="11"/>
      <c r="BTJ24" s="11"/>
      <c r="BTK24" s="11"/>
      <c r="BTL24" s="11"/>
      <c r="BTM24" s="11"/>
      <c r="BTN24" s="11"/>
      <c r="BTO24" s="11"/>
      <c r="BTP24" s="11"/>
      <c r="BTQ24" s="11"/>
      <c r="BTR24" s="11"/>
      <c r="BTS24" s="11"/>
      <c r="BTT24" s="11"/>
      <c r="BTU24" s="11"/>
      <c r="BTV24" s="11"/>
      <c r="BTW24" s="11"/>
      <c r="BTX24" s="11"/>
      <c r="BTY24" s="11"/>
      <c r="BTZ24" s="11"/>
      <c r="BUA24" s="11"/>
      <c r="BUB24" s="11"/>
      <c r="BUC24" s="11"/>
      <c r="BUD24" s="11"/>
      <c r="BUE24" s="11"/>
      <c r="BUF24" s="11"/>
      <c r="BUG24" s="11"/>
      <c r="BUH24" s="11"/>
      <c r="BUI24" s="11"/>
      <c r="BUJ24" s="11"/>
      <c r="BUK24" s="11"/>
      <c r="BUL24" s="11"/>
      <c r="BUM24" s="11"/>
      <c r="BUN24" s="11"/>
      <c r="BUO24" s="11"/>
      <c r="BUP24" s="11"/>
      <c r="BUQ24" s="11"/>
      <c r="BUR24" s="11"/>
      <c r="BUS24" s="11"/>
      <c r="BUT24" s="11"/>
      <c r="BUU24" s="11"/>
      <c r="BUV24" s="11"/>
      <c r="BUW24" s="11"/>
      <c r="BUX24" s="11"/>
      <c r="BUY24" s="11"/>
      <c r="BUZ24" s="11"/>
      <c r="BVA24" s="11"/>
      <c r="BVB24" s="11"/>
      <c r="BVC24" s="11"/>
      <c r="BVD24" s="11"/>
      <c r="BVE24" s="11"/>
      <c r="BVF24" s="11"/>
      <c r="BVG24" s="11"/>
      <c r="BVH24" s="11"/>
      <c r="BVI24" s="11"/>
      <c r="BVJ24" s="11"/>
      <c r="BVK24" s="11"/>
      <c r="BVL24" s="11"/>
      <c r="BVM24" s="11"/>
      <c r="BVN24" s="11"/>
      <c r="BVO24" s="11"/>
      <c r="BVP24" s="11"/>
      <c r="BVQ24" s="11"/>
      <c r="BVR24" s="11"/>
      <c r="BVS24" s="11"/>
      <c r="BVT24" s="11"/>
      <c r="BVU24" s="11"/>
      <c r="BVV24" s="11"/>
      <c r="BVW24" s="11"/>
      <c r="BVX24" s="11"/>
      <c r="BVY24" s="11"/>
      <c r="BVZ24" s="11"/>
      <c r="BWA24" s="11"/>
      <c r="BWB24" s="11"/>
      <c r="BWC24" s="11"/>
      <c r="BWD24" s="11"/>
      <c r="BWE24" s="11"/>
      <c r="BWF24" s="11"/>
      <c r="BWG24" s="11"/>
      <c r="BWH24" s="11"/>
      <c r="BWI24" s="11"/>
      <c r="BWJ24" s="11"/>
      <c r="BWK24" s="11"/>
      <c r="BWL24" s="11"/>
      <c r="BWM24" s="11"/>
      <c r="BWN24" s="11"/>
      <c r="BWO24" s="11"/>
      <c r="BWP24" s="11"/>
      <c r="BWQ24" s="11"/>
      <c r="BWR24" s="11"/>
      <c r="BWS24" s="11"/>
      <c r="BWT24" s="11"/>
      <c r="BWU24" s="11"/>
      <c r="BWV24" s="11"/>
      <c r="BWW24" s="11"/>
      <c r="BWX24" s="11"/>
      <c r="BWY24" s="11"/>
      <c r="BWZ24" s="11"/>
      <c r="BXA24" s="11"/>
      <c r="BXB24" s="11"/>
      <c r="BXC24" s="11"/>
      <c r="BXD24" s="11"/>
      <c r="BXE24" s="11"/>
      <c r="BXF24" s="11"/>
      <c r="BXG24" s="11"/>
      <c r="BXH24" s="11"/>
      <c r="BXI24" s="11"/>
      <c r="BXJ24" s="11"/>
      <c r="BXK24" s="11"/>
      <c r="BXL24" s="11"/>
      <c r="BXM24" s="11"/>
      <c r="BXN24" s="11"/>
      <c r="BXO24" s="11"/>
      <c r="BXP24" s="11"/>
      <c r="BXQ24" s="11"/>
      <c r="BXR24" s="11"/>
      <c r="BXS24" s="11"/>
      <c r="BXT24" s="11"/>
      <c r="BXU24" s="11"/>
      <c r="BXV24" s="11"/>
      <c r="BXW24" s="11"/>
      <c r="BXX24" s="11"/>
      <c r="BXY24" s="11"/>
      <c r="BXZ24" s="11"/>
      <c r="BYA24" s="11"/>
      <c r="BYB24" s="11"/>
      <c r="BYC24" s="11"/>
      <c r="BYD24" s="11"/>
      <c r="BYE24" s="11"/>
      <c r="BYF24" s="11"/>
      <c r="BYG24" s="11"/>
      <c r="BYH24" s="11"/>
      <c r="BYI24" s="11"/>
      <c r="BYJ24" s="11"/>
      <c r="BYK24" s="11"/>
      <c r="BYL24" s="11"/>
      <c r="BYM24" s="11"/>
      <c r="BYN24" s="11"/>
      <c r="BYO24" s="11"/>
      <c r="BYP24" s="11"/>
      <c r="BYQ24" s="11"/>
      <c r="BYR24" s="11"/>
      <c r="BYS24" s="11"/>
      <c r="BYT24" s="11"/>
      <c r="BYU24" s="11"/>
      <c r="BYV24" s="11"/>
      <c r="BYW24" s="11"/>
      <c r="BYX24" s="11"/>
      <c r="BYY24" s="11"/>
      <c r="BYZ24" s="11"/>
      <c r="BZA24" s="11"/>
      <c r="BZB24" s="11"/>
      <c r="BZC24" s="11"/>
      <c r="BZD24" s="11"/>
      <c r="BZE24" s="11"/>
      <c r="BZF24" s="11"/>
      <c r="BZG24" s="11"/>
      <c r="BZH24" s="11"/>
      <c r="BZI24" s="11"/>
      <c r="BZJ24" s="11"/>
      <c r="BZK24" s="11"/>
      <c r="BZL24" s="11"/>
      <c r="BZM24" s="11"/>
      <c r="BZN24" s="11"/>
      <c r="BZO24" s="11"/>
      <c r="BZP24" s="11"/>
      <c r="BZQ24" s="11"/>
      <c r="BZR24" s="11"/>
      <c r="BZS24" s="11"/>
      <c r="BZT24" s="11"/>
      <c r="BZU24" s="11"/>
      <c r="BZV24" s="11"/>
      <c r="BZW24" s="11"/>
      <c r="BZX24" s="11"/>
      <c r="BZY24" s="11"/>
      <c r="BZZ24" s="11"/>
      <c r="CAA24" s="11"/>
      <c r="CAB24" s="11"/>
      <c r="CAC24" s="11"/>
      <c r="CAD24" s="11"/>
      <c r="CAE24" s="11"/>
      <c r="CAF24" s="11"/>
      <c r="CAG24" s="11"/>
      <c r="CAH24" s="11"/>
      <c r="CAI24" s="11"/>
      <c r="CAJ24" s="11"/>
      <c r="CAK24" s="11"/>
      <c r="CAL24" s="11"/>
      <c r="CAM24" s="11"/>
      <c r="CAN24" s="11"/>
      <c r="CAO24" s="11"/>
      <c r="CAP24" s="11"/>
      <c r="CAQ24" s="11"/>
      <c r="CAR24" s="11"/>
      <c r="CAS24" s="11"/>
      <c r="CAT24" s="11"/>
      <c r="CAU24" s="11"/>
      <c r="CAV24" s="11"/>
      <c r="CAW24" s="11"/>
      <c r="CAX24" s="11"/>
      <c r="CAY24" s="11"/>
      <c r="CAZ24" s="11"/>
      <c r="CBA24" s="11"/>
      <c r="CBB24" s="11"/>
      <c r="CBC24" s="11"/>
      <c r="CBD24" s="11"/>
      <c r="CBE24" s="11"/>
      <c r="CBF24" s="11"/>
      <c r="CBG24" s="11"/>
      <c r="CBH24" s="11"/>
      <c r="CBI24" s="11"/>
      <c r="CBJ24" s="11"/>
      <c r="CBK24" s="11"/>
      <c r="CBL24" s="11"/>
      <c r="CBM24" s="11"/>
      <c r="CBN24" s="11"/>
      <c r="CBO24" s="11"/>
      <c r="CBP24" s="11"/>
      <c r="CBQ24" s="11"/>
      <c r="CBR24" s="11"/>
      <c r="CBS24" s="11"/>
      <c r="CBT24" s="11"/>
      <c r="CBU24" s="11"/>
      <c r="CBV24" s="11"/>
      <c r="CBW24" s="11"/>
      <c r="CBX24" s="11"/>
      <c r="CBY24" s="11"/>
      <c r="CBZ24" s="11"/>
      <c r="CCA24" s="11"/>
      <c r="CCB24" s="11"/>
      <c r="CCC24" s="11"/>
      <c r="CCD24" s="11"/>
      <c r="CCE24" s="11"/>
      <c r="CCF24" s="11"/>
      <c r="CCG24" s="11"/>
      <c r="CCH24" s="11"/>
      <c r="CCI24" s="11"/>
      <c r="CCJ24" s="11"/>
      <c r="CCK24" s="11"/>
      <c r="CCL24" s="11"/>
      <c r="CCM24" s="11"/>
      <c r="CCN24" s="11"/>
      <c r="CCO24" s="11"/>
      <c r="CCP24" s="11"/>
      <c r="CCQ24" s="11"/>
      <c r="CCR24" s="11"/>
      <c r="CCS24" s="11"/>
      <c r="CCT24" s="11"/>
      <c r="CCU24" s="11"/>
      <c r="CCV24" s="11"/>
      <c r="CCW24" s="11"/>
      <c r="CCX24" s="11"/>
      <c r="CCY24" s="11"/>
      <c r="CCZ24" s="11"/>
      <c r="CDA24" s="11"/>
      <c r="CDB24" s="11"/>
      <c r="CDC24" s="11"/>
      <c r="CDD24" s="11"/>
      <c r="CDE24" s="11"/>
      <c r="CDF24" s="11"/>
      <c r="CDG24" s="11"/>
      <c r="CDH24" s="11"/>
      <c r="CDI24" s="11"/>
      <c r="CDJ24" s="11"/>
      <c r="CDK24" s="11"/>
      <c r="CDL24" s="11"/>
      <c r="CDM24" s="11"/>
      <c r="CDN24" s="11"/>
      <c r="CDO24" s="11"/>
      <c r="CDP24" s="11"/>
      <c r="CDQ24" s="11"/>
      <c r="CDR24" s="11"/>
      <c r="CDS24" s="11"/>
      <c r="CDT24" s="11"/>
      <c r="CDU24" s="11"/>
      <c r="CDV24" s="11"/>
      <c r="CDW24" s="11"/>
      <c r="CDX24" s="11"/>
      <c r="CDY24" s="11"/>
      <c r="CDZ24" s="11"/>
      <c r="CEA24" s="11"/>
      <c r="CEB24" s="11"/>
      <c r="CEC24" s="11"/>
      <c r="CED24" s="11"/>
      <c r="CEE24" s="11"/>
      <c r="CEF24" s="11"/>
      <c r="CEG24" s="11"/>
      <c r="CEH24" s="11"/>
      <c r="CEI24" s="11"/>
      <c r="CEJ24" s="11"/>
      <c r="CEK24" s="11"/>
      <c r="CEL24" s="11"/>
      <c r="CEM24" s="11"/>
      <c r="CEN24" s="11"/>
      <c r="CEO24" s="11"/>
      <c r="CEP24" s="11"/>
      <c r="CEQ24" s="11"/>
      <c r="CER24" s="11"/>
      <c r="CES24" s="11"/>
      <c r="CET24" s="11"/>
      <c r="CEU24" s="11"/>
      <c r="CEV24" s="11"/>
      <c r="CEW24" s="11"/>
      <c r="CEX24" s="11"/>
      <c r="CEY24" s="11"/>
      <c r="CEZ24" s="11"/>
      <c r="CFA24" s="11"/>
      <c r="CFB24" s="11"/>
      <c r="CFC24" s="11"/>
      <c r="CFD24" s="11"/>
      <c r="CFE24" s="11"/>
      <c r="CFF24" s="11"/>
      <c r="CFG24" s="11"/>
      <c r="CFH24" s="11"/>
      <c r="CFI24" s="11"/>
      <c r="CFJ24" s="11"/>
      <c r="CFK24" s="11"/>
      <c r="CFL24" s="11"/>
      <c r="CFM24" s="11"/>
      <c r="CFN24" s="11"/>
      <c r="CFO24" s="11"/>
      <c r="CFP24" s="11"/>
      <c r="CFQ24" s="11"/>
      <c r="CFR24" s="11"/>
      <c r="CFS24" s="11"/>
      <c r="CFT24" s="11"/>
      <c r="CFU24" s="11"/>
      <c r="CFV24" s="11"/>
      <c r="CFW24" s="11"/>
      <c r="CFX24" s="11"/>
      <c r="CFY24" s="11"/>
      <c r="CFZ24" s="11"/>
      <c r="CGA24" s="11"/>
      <c r="CGB24" s="11"/>
      <c r="CGC24" s="11"/>
      <c r="CGD24" s="11"/>
      <c r="CGE24" s="11"/>
      <c r="CGF24" s="11"/>
      <c r="CGG24" s="11"/>
      <c r="CGH24" s="11"/>
      <c r="CGI24" s="11"/>
      <c r="CGJ24" s="11"/>
      <c r="CGK24" s="11"/>
      <c r="CGL24" s="11"/>
      <c r="CGM24" s="11"/>
      <c r="CGN24" s="11"/>
      <c r="CGO24" s="11"/>
      <c r="CGP24" s="11"/>
      <c r="CGQ24" s="11"/>
      <c r="CGR24" s="11"/>
      <c r="CGS24" s="11"/>
      <c r="CGT24" s="11"/>
      <c r="CGU24" s="11"/>
      <c r="CGV24" s="11"/>
      <c r="CGW24" s="11"/>
      <c r="CGX24" s="11"/>
      <c r="CGY24" s="11"/>
      <c r="CGZ24" s="11"/>
      <c r="CHA24" s="11"/>
      <c r="CHB24" s="11"/>
      <c r="CHC24" s="11"/>
      <c r="CHD24" s="11"/>
      <c r="CHE24" s="11"/>
      <c r="CHF24" s="11"/>
      <c r="CHG24" s="11"/>
      <c r="CHH24" s="11"/>
      <c r="CHI24" s="11"/>
      <c r="CHJ24" s="11"/>
      <c r="CHK24" s="11"/>
      <c r="CHL24" s="11"/>
      <c r="CHM24" s="11"/>
      <c r="CHN24" s="11"/>
      <c r="CHO24" s="11"/>
      <c r="CHP24" s="11"/>
      <c r="CHQ24" s="11"/>
      <c r="CHR24" s="11"/>
      <c r="CHS24" s="11"/>
      <c r="CHT24" s="11"/>
      <c r="CHU24" s="11"/>
      <c r="CHV24" s="11"/>
      <c r="CHW24" s="11"/>
      <c r="CHX24" s="11"/>
      <c r="CHY24" s="11"/>
      <c r="CHZ24" s="11"/>
      <c r="CIA24" s="11"/>
      <c r="CIB24" s="11"/>
      <c r="CIC24" s="11"/>
      <c r="CID24" s="11"/>
      <c r="CIE24" s="11"/>
      <c r="CIF24" s="11"/>
      <c r="CIG24" s="11"/>
      <c r="CIH24" s="11"/>
      <c r="CII24" s="11"/>
      <c r="CIJ24" s="11"/>
      <c r="CIK24" s="11"/>
      <c r="CIL24" s="11"/>
      <c r="CIM24" s="11"/>
      <c r="CIN24" s="11"/>
      <c r="CIO24" s="11"/>
      <c r="CIP24" s="11"/>
      <c r="CIQ24" s="11"/>
      <c r="CIR24" s="11"/>
      <c r="CIS24" s="11"/>
      <c r="CIT24" s="11"/>
      <c r="CIU24" s="11"/>
      <c r="CIV24" s="11"/>
      <c r="CIW24" s="11"/>
      <c r="CIX24" s="11"/>
      <c r="CIY24" s="11"/>
      <c r="CIZ24" s="11"/>
      <c r="CJA24" s="11"/>
      <c r="CJB24" s="11"/>
      <c r="CJC24" s="11"/>
      <c r="CJD24" s="11"/>
      <c r="CJE24" s="11"/>
      <c r="CJF24" s="11"/>
      <c r="CJG24" s="11"/>
      <c r="CJH24" s="11"/>
      <c r="CJI24" s="11"/>
      <c r="CJJ24" s="11"/>
      <c r="CJK24" s="11"/>
      <c r="CJL24" s="11"/>
      <c r="CJM24" s="11"/>
      <c r="CJN24" s="11"/>
      <c r="CJO24" s="11"/>
      <c r="CJP24" s="11"/>
      <c r="CJQ24" s="11"/>
      <c r="CJR24" s="11"/>
      <c r="CJS24" s="11"/>
      <c r="CJT24" s="11"/>
      <c r="CJU24" s="11"/>
      <c r="CJV24" s="11"/>
      <c r="CJW24" s="11"/>
      <c r="CJX24" s="11"/>
      <c r="CJY24" s="11"/>
      <c r="CJZ24" s="11"/>
      <c r="CKA24" s="11"/>
      <c r="CKB24" s="11"/>
      <c r="CKC24" s="11"/>
      <c r="CKD24" s="11"/>
      <c r="CKE24" s="11"/>
      <c r="CKF24" s="11"/>
      <c r="CKG24" s="11"/>
      <c r="CKH24" s="11"/>
      <c r="CKI24" s="11"/>
      <c r="CKJ24" s="11"/>
      <c r="CKK24" s="11"/>
      <c r="CKL24" s="11"/>
      <c r="CKM24" s="11"/>
      <c r="CKN24" s="11"/>
      <c r="CKO24" s="11"/>
      <c r="CKP24" s="11"/>
      <c r="CKQ24" s="11"/>
      <c r="CKR24" s="11"/>
      <c r="CKS24" s="11"/>
      <c r="CKT24" s="11"/>
      <c r="CKU24" s="11"/>
      <c r="CKV24" s="11"/>
      <c r="CKW24" s="11"/>
      <c r="CKX24" s="11"/>
      <c r="CKY24" s="11"/>
      <c r="CKZ24" s="11"/>
      <c r="CLA24" s="11"/>
      <c r="CLB24" s="11"/>
      <c r="CLC24" s="11"/>
      <c r="CLD24" s="11"/>
      <c r="CLE24" s="11"/>
      <c r="CLF24" s="11"/>
      <c r="CLG24" s="11"/>
      <c r="CLH24" s="11"/>
      <c r="CLI24" s="11"/>
      <c r="CLJ24" s="11"/>
      <c r="CLK24" s="11"/>
      <c r="CLL24" s="11"/>
      <c r="CLM24" s="11"/>
      <c r="CLN24" s="11"/>
      <c r="CLO24" s="11"/>
      <c r="CLP24" s="11"/>
      <c r="CLQ24" s="11"/>
      <c r="CLR24" s="11"/>
      <c r="CLS24" s="11"/>
      <c r="CLT24" s="11"/>
      <c r="CLU24" s="11"/>
      <c r="CLV24" s="11"/>
      <c r="CLW24" s="11"/>
      <c r="CLX24" s="11"/>
      <c r="CLY24" s="11"/>
      <c r="CLZ24" s="11"/>
      <c r="CMA24" s="11"/>
      <c r="CMB24" s="11"/>
      <c r="CMC24" s="11"/>
      <c r="CMD24" s="11"/>
      <c r="CME24" s="11"/>
      <c r="CMF24" s="11"/>
      <c r="CMG24" s="11"/>
      <c r="CMH24" s="11"/>
      <c r="CMI24" s="11"/>
      <c r="CMJ24" s="11"/>
      <c r="CMK24" s="11"/>
      <c r="CML24" s="11"/>
      <c r="CMM24" s="11"/>
      <c r="CMN24" s="11"/>
      <c r="CMO24" s="11"/>
      <c r="CMP24" s="11"/>
      <c r="CMQ24" s="11"/>
      <c r="CMR24" s="11"/>
      <c r="CMS24" s="11"/>
      <c r="CMT24" s="11"/>
      <c r="CMU24" s="11"/>
      <c r="CMV24" s="11"/>
      <c r="CMW24" s="11"/>
      <c r="CMX24" s="11"/>
      <c r="CMY24" s="11"/>
      <c r="CMZ24" s="11"/>
      <c r="CNA24" s="11"/>
      <c r="CNB24" s="11"/>
      <c r="CNC24" s="11"/>
      <c r="CND24" s="11"/>
      <c r="CNE24" s="11"/>
      <c r="CNF24" s="11"/>
      <c r="CNG24" s="11"/>
      <c r="CNH24" s="11"/>
      <c r="CNI24" s="11"/>
      <c r="CNJ24" s="11"/>
      <c r="CNK24" s="11"/>
      <c r="CNL24" s="11"/>
      <c r="CNM24" s="11"/>
      <c r="CNN24" s="11"/>
      <c r="CNO24" s="11"/>
      <c r="CNP24" s="11"/>
      <c r="CNQ24" s="11"/>
      <c r="CNR24" s="11"/>
      <c r="CNS24" s="11"/>
      <c r="CNT24" s="11"/>
      <c r="CNU24" s="11"/>
      <c r="CNV24" s="11"/>
      <c r="CNW24" s="11"/>
      <c r="CNX24" s="11"/>
      <c r="CNY24" s="11"/>
      <c r="CNZ24" s="11"/>
      <c r="COA24" s="11"/>
      <c r="COB24" s="11"/>
      <c r="COC24" s="11"/>
      <c r="COD24" s="11"/>
      <c r="COE24" s="11"/>
      <c r="COF24" s="11"/>
      <c r="COG24" s="11"/>
      <c r="COH24" s="11"/>
      <c r="COI24" s="11"/>
      <c r="COJ24" s="11"/>
      <c r="COK24" s="11"/>
      <c r="COL24" s="11"/>
      <c r="COM24" s="11"/>
      <c r="CON24" s="11"/>
      <c r="COO24" s="11"/>
      <c r="COP24" s="11"/>
      <c r="COQ24" s="11"/>
      <c r="COR24" s="11"/>
      <c r="COS24" s="11"/>
      <c r="COT24" s="11"/>
      <c r="COU24" s="11"/>
      <c r="COV24" s="11"/>
      <c r="COW24" s="11"/>
      <c r="COX24" s="11"/>
      <c r="COY24" s="11"/>
      <c r="COZ24" s="11"/>
      <c r="CPA24" s="11"/>
      <c r="CPB24" s="11"/>
      <c r="CPC24" s="11"/>
      <c r="CPD24" s="11"/>
      <c r="CPE24" s="11"/>
      <c r="CPF24" s="11"/>
      <c r="CPG24" s="11"/>
      <c r="CPH24" s="11"/>
      <c r="CPI24" s="11"/>
      <c r="CPJ24" s="11"/>
      <c r="CPK24" s="11"/>
      <c r="CPL24" s="11"/>
      <c r="CPM24" s="11"/>
      <c r="CPN24" s="11"/>
      <c r="CPO24" s="11"/>
      <c r="CPP24" s="11"/>
      <c r="CPQ24" s="11"/>
      <c r="CPR24" s="11"/>
      <c r="CPS24" s="11"/>
      <c r="CPT24" s="11"/>
      <c r="CPU24" s="11"/>
      <c r="CPV24" s="11"/>
      <c r="CPW24" s="11"/>
      <c r="CPX24" s="11"/>
      <c r="CPY24" s="11"/>
      <c r="CPZ24" s="11"/>
      <c r="CQA24" s="11"/>
      <c r="CQB24" s="11"/>
      <c r="CQC24" s="11"/>
      <c r="CQD24" s="11"/>
      <c r="CQE24" s="11"/>
      <c r="CQF24" s="11"/>
      <c r="CQG24" s="11"/>
      <c r="CQH24" s="11"/>
      <c r="CQI24" s="11"/>
      <c r="CQJ24" s="11"/>
      <c r="CQK24" s="11"/>
      <c r="CQL24" s="11"/>
      <c r="CQM24" s="11"/>
      <c r="CQN24" s="11"/>
      <c r="CQO24" s="11"/>
      <c r="CQP24" s="11"/>
      <c r="CQQ24" s="11"/>
      <c r="CQR24" s="11"/>
      <c r="CQS24" s="11"/>
      <c r="CQT24" s="11"/>
      <c r="CQU24" s="11"/>
      <c r="CQV24" s="11"/>
      <c r="CQW24" s="11"/>
      <c r="CQX24" s="11"/>
      <c r="CQY24" s="11"/>
      <c r="CQZ24" s="11"/>
      <c r="CRA24" s="11"/>
      <c r="CRB24" s="11"/>
      <c r="CRC24" s="11"/>
      <c r="CRD24" s="11"/>
      <c r="CRE24" s="11"/>
      <c r="CRF24" s="11"/>
      <c r="CRG24" s="11"/>
      <c r="CRH24" s="11"/>
      <c r="CRI24" s="11"/>
      <c r="CRJ24" s="11"/>
      <c r="CRK24" s="11"/>
      <c r="CRL24" s="11"/>
      <c r="CRM24" s="11"/>
      <c r="CRN24" s="11"/>
      <c r="CRO24" s="11"/>
      <c r="CRP24" s="11"/>
      <c r="CRQ24" s="11"/>
      <c r="CRR24" s="11"/>
      <c r="CRS24" s="11"/>
      <c r="CRT24" s="11"/>
      <c r="CRU24" s="11"/>
      <c r="CRV24" s="11"/>
      <c r="CRW24" s="11"/>
      <c r="CRX24" s="11"/>
      <c r="CRY24" s="11"/>
      <c r="CRZ24" s="11"/>
      <c r="CSA24" s="11"/>
      <c r="CSB24" s="11"/>
      <c r="CSC24" s="11"/>
      <c r="CSD24" s="11"/>
      <c r="CSE24" s="11"/>
      <c r="CSF24" s="11"/>
      <c r="CSG24" s="11"/>
      <c r="CSH24" s="11"/>
      <c r="CSI24" s="11"/>
      <c r="CSJ24" s="11"/>
      <c r="CSK24" s="11"/>
      <c r="CSL24" s="11"/>
      <c r="CSM24" s="11"/>
      <c r="CSN24" s="11"/>
      <c r="CSO24" s="11"/>
      <c r="CSP24" s="11"/>
      <c r="CSQ24" s="11"/>
      <c r="CSR24" s="11"/>
      <c r="CSS24" s="11"/>
      <c r="CST24" s="11"/>
      <c r="CSU24" s="11"/>
      <c r="CSV24" s="11"/>
      <c r="CSW24" s="11"/>
      <c r="CSX24" s="11"/>
      <c r="CSY24" s="11"/>
      <c r="CSZ24" s="11"/>
      <c r="CTA24" s="11"/>
      <c r="CTB24" s="11"/>
      <c r="CTC24" s="11"/>
      <c r="CTD24" s="11"/>
      <c r="CTE24" s="11"/>
      <c r="CTF24" s="11"/>
      <c r="CTG24" s="11"/>
      <c r="CTH24" s="11"/>
      <c r="CTI24" s="11"/>
      <c r="CTJ24" s="11"/>
      <c r="CTK24" s="11"/>
      <c r="CTL24" s="1"/>
      <c r="CTM24" s="1"/>
      <c r="CTN24" s="1"/>
    </row>
    <row r="25" s="5" customFormat="1" ht="70" hidden="1" customHeight="1" spans="1:1024 1025:2562">
      <c r="A25" s="30">
        <v>16</v>
      </c>
      <c r="B25" s="30" t="s">
        <v>123</v>
      </c>
      <c r="C25" s="30" t="s">
        <v>124</v>
      </c>
      <c r="D25" s="30" t="s">
        <v>125</v>
      </c>
      <c r="E25" s="35">
        <v>56000</v>
      </c>
      <c r="F25" s="35">
        <v>20500</v>
      </c>
      <c r="G25" s="35">
        <v>5500</v>
      </c>
      <c r="H25" s="35"/>
      <c r="I25" s="35"/>
      <c r="J25" s="35"/>
      <c r="K25" s="28">
        <f t="shared" si="0"/>
        <v>0</v>
      </c>
      <c r="L25" s="35"/>
      <c r="M25" s="35"/>
      <c r="N25" s="30" t="s">
        <v>126</v>
      </c>
      <c r="O25" s="30" t="s">
        <v>127</v>
      </c>
      <c r="P25" s="30" t="s">
        <v>27</v>
      </c>
      <c r="Q25" s="30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/>
      <c r="AQW25" s="11"/>
      <c r="AQX25" s="11"/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/>
      <c r="ATB25" s="11"/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/>
      <c r="AXA25" s="11"/>
      <c r="AXB25" s="11"/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  <c r="BKJ25" s="11"/>
      <c r="BKK25" s="11"/>
      <c r="BKL25" s="11"/>
      <c r="BKM25" s="11"/>
      <c r="BKN25" s="11"/>
      <c r="BKO25" s="11"/>
      <c r="BKP25" s="11"/>
      <c r="BKQ25" s="11"/>
      <c r="BKR25" s="11"/>
      <c r="BKS25" s="11"/>
      <c r="BKT25" s="11"/>
      <c r="BKU25" s="11"/>
      <c r="BKV25" s="11"/>
      <c r="BKW25" s="11"/>
      <c r="BKX25" s="11"/>
      <c r="BKY25" s="11"/>
      <c r="BKZ25" s="11"/>
      <c r="BLA25" s="11"/>
      <c r="BLB25" s="11"/>
      <c r="BLC25" s="11"/>
      <c r="BLD25" s="11"/>
      <c r="BLE25" s="11"/>
      <c r="BLF25" s="11"/>
      <c r="BLG25" s="11"/>
      <c r="BLH25" s="11"/>
      <c r="BLI25" s="11"/>
      <c r="BLJ25" s="11"/>
      <c r="BLK25" s="11"/>
      <c r="BLL25" s="11"/>
      <c r="BLM25" s="11"/>
      <c r="BLN25" s="11"/>
      <c r="BLO25" s="11"/>
      <c r="BLP25" s="11"/>
      <c r="BLQ25" s="11"/>
      <c r="BLR25" s="11"/>
      <c r="BLS25" s="11"/>
      <c r="BLT25" s="11"/>
      <c r="BLU25" s="11"/>
      <c r="BLV25" s="11"/>
      <c r="BLW25" s="11"/>
      <c r="BLX25" s="11"/>
      <c r="BLY25" s="11"/>
      <c r="BLZ25" s="11"/>
      <c r="BMA25" s="11"/>
      <c r="BMB25" s="11"/>
      <c r="BMC25" s="11"/>
      <c r="BMD25" s="11"/>
      <c r="BME25" s="11"/>
      <c r="BMF25" s="11"/>
      <c r="BMG25" s="11"/>
      <c r="BMH25" s="11"/>
      <c r="BMI25" s="11"/>
      <c r="BMJ25" s="11"/>
      <c r="BMK25" s="11"/>
      <c r="BML25" s="11"/>
      <c r="BMM25" s="11"/>
      <c r="BMN25" s="11"/>
      <c r="BMO25" s="11"/>
      <c r="BMP25" s="11"/>
      <c r="BMQ25" s="11"/>
      <c r="BMR25" s="11"/>
      <c r="BMS25" s="11"/>
      <c r="BMT25" s="11"/>
      <c r="BMU25" s="11"/>
      <c r="BMV25" s="11"/>
      <c r="BMW25" s="11"/>
      <c r="BMX25" s="11"/>
      <c r="BMY25" s="11"/>
      <c r="BMZ25" s="11"/>
      <c r="BNA25" s="11"/>
      <c r="BNB25" s="11"/>
      <c r="BNC25" s="11"/>
      <c r="BND25" s="11"/>
      <c r="BNE25" s="11"/>
      <c r="BNF25" s="11"/>
      <c r="BNG25" s="11"/>
      <c r="BNH25" s="11"/>
      <c r="BNI25" s="11"/>
      <c r="BNJ25" s="11"/>
      <c r="BNK25" s="11"/>
      <c r="BNL25" s="11"/>
      <c r="BNM25" s="11"/>
      <c r="BNN25" s="11"/>
      <c r="BNO25" s="11"/>
      <c r="BNP25" s="11"/>
      <c r="BNQ25" s="11"/>
      <c r="BNR25" s="11"/>
      <c r="BNS25" s="11"/>
      <c r="BNT25" s="11"/>
      <c r="BNU25" s="11"/>
      <c r="BNV25" s="11"/>
      <c r="BNW25" s="11"/>
      <c r="BNX25" s="11"/>
      <c r="BNY25" s="11"/>
      <c r="BNZ25" s="11"/>
      <c r="BOA25" s="11"/>
      <c r="BOB25" s="11"/>
      <c r="BOC25" s="11"/>
      <c r="BOD25" s="11"/>
      <c r="BOE25" s="11"/>
      <c r="BOF25" s="11"/>
      <c r="BOG25" s="11"/>
      <c r="BOH25" s="11"/>
      <c r="BOI25" s="11"/>
      <c r="BOJ25" s="11"/>
      <c r="BOK25" s="11"/>
      <c r="BOL25" s="11"/>
      <c r="BOM25" s="11"/>
      <c r="BON25" s="11"/>
      <c r="BOO25" s="11"/>
      <c r="BOP25" s="11"/>
      <c r="BOQ25" s="11"/>
      <c r="BOR25" s="11"/>
      <c r="BOS25" s="11"/>
      <c r="BOT25" s="11"/>
      <c r="BOU25" s="11"/>
      <c r="BOV25" s="11"/>
      <c r="BOW25" s="11"/>
      <c r="BOX25" s="11"/>
      <c r="BOY25" s="11"/>
      <c r="BOZ25" s="11"/>
      <c r="BPA25" s="11"/>
      <c r="BPB25" s="11"/>
      <c r="BPC25" s="11"/>
      <c r="BPD25" s="11"/>
      <c r="BPE25" s="11"/>
      <c r="BPF25" s="11"/>
      <c r="BPG25" s="11"/>
      <c r="BPH25" s="11"/>
      <c r="BPI25" s="11"/>
      <c r="BPJ25" s="11"/>
      <c r="BPK25" s="11"/>
      <c r="BPL25" s="11"/>
      <c r="BPM25" s="11"/>
      <c r="BPN25" s="11"/>
      <c r="BPO25" s="11"/>
      <c r="BPP25" s="11"/>
      <c r="BPQ25" s="11"/>
      <c r="BPR25" s="11"/>
      <c r="BPS25" s="11"/>
      <c r="BPT25" s="11"/>
      <c r="BPU25" s="11"/>
      <c r="BPV25" s="11"/>
      <c r="BPW25" s="11"/>
      <c r="BPX25" s="11"/>
      <c r="BPY25" s="11"/>
      <c r="BPZ25" s="11"/>
      <c r="BQA25" s="11"/>
      <c r="BQB25" s="11"/>
      <c r="BQC25" s="11"/>
      <c r="BQD25" s="11"/>
      <c r="BQE25" s="11"/>
      <c r="BQF25" s="11"/>
      <c r="BQG25" s="11"/>
      <c r="BQH25" s="11"/>
      <c r="BQI25" s="11"/>
      <c r="BQJ25" s="11"/>
      <c r="BQK25" s="11"/>
      <c r="BQL25" s="11"/>
      <c r="BQM25" s="11"/>
      <c r="BQN25" s="11"/>
      <c r="BQO25" s="11"/>
      <c r="BQP25" s="11"/>
      <c r="BQQ25" s="11"/>
      <c r="BQR25" s="11"/>
      <c r="BQS25" s="11"/>
      <c r="BQT25" s="11"/>
      <c r="BQU25" s="11"/>
      <c r="BQV25" s="11"/>
      <c r="BQW25" s="11"/>
      <c r="BQX25" s="11"/>
      <c r="BQY25" s="11"/>
      <c r="BQZ25" s="11"/>
      <c r="BRA25" s="11"/>
      <c r="BRB25" s="11"/>
      <c r="BRC25" s="11"/>
      <c r="BRD25" s="11"/>
      <c r="BRE25" s="11"/>
      <c r="BRF25" s="11"/>
      <c r="BRG25" s="11"/>
      <c r="BRH25" s="11"/>
      <c r="BRI25" s="11"/>
      <c r="BRJ25" s="11"/>
      <c r="BRK25" s="11"/>
      <c r="BRL25" s="11"/>
      <c r="BRM25" s="11"/>
      <c r="BRN25" s="11"/>
      <c r="BRO25" s="11"/>
      <c r="BRP25" s="11"/>
      <c r="BRQ25" s="11"/>
      <c r="BRR25" s="11"/>
      <c r="BRS25" s="11"/>
      <c r="BRT25" s="11"/>
      <c r="BRU25" s="11"/>
      <c r="BRV25" s="11"/>
      <c r="BRW25" s="11"/>
      <c r="BRX25" s="11"/>
      <c r="BRY25" s="11"/>
      <c r="BRZ25" s="11"/>
      <c r="BSA25" s="11"/>
      <c r="BSB25" s="11"/>
      <c r="BSC25" s="11"/>
      <c r="BSD25" s="11"/>
      <c r="BSE25" s="11"/>
      <c r="BSF25" s="11"/>
      <c r="BSG25" s="11"/>
      <c r="BSH25" s="11"/>
      <c r="BSI25" s="11"/>
      <c r="BSJ25" s="11"/>
      <c r="BSK25" s="11"/>
      <c r="BSL25" s="11"/>
      <c r="BSM25" s="11"/>
      <c r="BSN25" s="11"/>
      <c r="BSO25" s="11"/>
      <c r="BSP25" s="11"/>
      <c r="BSQ25" s="11"/>
      <c r="BSR25" s="11"/>
      <c r="BSS25" s="11"/>
      <c r="BST25" s="11"/>
      <c r="BSU25" s="11"/>
      <c r="BSV25" s="11"/>
      <c r="BSW25" s="11"/>
      <c r="BSX25" s="11"/>
      <c r="BSY25" s="11"/>
      <c r="BSZ25" s="11"/>
      <c r="BTA25" s="11"/>
      <c r="BTB25" s="11"/>
      <c r="BTC25" s="11"/>
      <c r="BTD25" s="11"/>
      <c r="BTE25" s="11"/>
      <c r="BTF25" s="11"/>
      <c r="BTG25" s="11"/>
      <c r="BTH25" s="11"/>
      <c r="BTI25" s="11"/>
      <c r="BTJ25" s="11"/>
      <c r="BTK25" s="11"/>
      <c r="BTL25" s="11"/>
      <c r="BTM25" s="11"/>
      <c r="BTN25" s="11"/>
      <c r="BTO25" s="11"/>
      <c r="BTP25" s="11"/>
      <c r="BTQ25" s="11"/>
      <c r="BTR25" s="11"/>
      <c r="BTS25" s="11"/>
      <c r="BTT25" s="11"/>
      <c r="BTU25" s="11"/>
      <c r="BTV25" s="11"/>
      <c r="BTW25" s="11"/>
      <c r="BTX25" s="11"/>
      <c r="BTY25" s="11"/>
      <c r="BTZ25" s="11"/>
      <c r="BUA25" s="11"/>
      <c r="BUB25" s="11"/>
      <c r="BUC25" s="11"/>
      <c r="BUD25" s="11"/>
      <c r="BUE25" s="11"/>
      <c r="BUF25" s="11"/>
      <c r="BUG25" s="11"/>
      <c r="BUH25" s="11"/>
      <c r="BUI25" s="11"/>
      <c r="BUJ25" s="11"/>
      <c r="BUK25" s="11"/>
      <c r="BUL25" s="11"/>
      <c r="BUM25" s="11"/>
      <c r="BUN25" s="11"/>
      <c r="BUO25" s="11"/>
      <c r="BUP25" s="11"/>
      <c r="BUQ25" s="11"/>
      <c r="BUR25" s="11"/>
      <c r="BUS25" s="11"/>
      <c r="BUT25" s="11"/>
      <c r="BUU25" s="11"/>
      <c r="BUV25" s="11"/>
      <c r="BUW25" s="11"/>
      <c r="BUX25" s="11"/>
      <c r="BUY25" s="11"/>
      <c r="BUZ25" s="11"/>
      <c r="BVA25" s="11"/>
      <c r="BVB25" s="11"/>
      <c r="BVC25" s="11"/>
      <c r="BVD25" s="11"/>
      <c r="BVE25" s="11"/>
      <c r="BVF25" s="11"/>
      <c r="BVG25" s="11"/>
      <c r="BVH25" s="11"/>
      <c r="BVI25" s="11"/>
      <c r="BVJ25" s="11"/>
      <c r="BVK25" s="11"/>
      <c r="BVL25" s="11"/>
      <c r="BVM25" s="11"/>
      <c r="BVN25" s="11"/>
      <c r="BVO25" s="11"/>
      <c r="BVP25" s="11"/>
      <c r="BVQ25" s="11"/>
      <c r="BVR25" s="11"/>
      <c r="BVS25" s="11"/>
      <c r="BVT25" s="11"/>
      <c r="BVU25" s="11"/>
      <c r="BVV25" s="11"/>
      <c r="BVW25" s="11"/>
      <c r="BVX25" s="11"/>
      <c r="BVY25" s="11"/>
      <c r="BVZ25" s="11"/>
      <c r="BWA25" s="11"/>
      <c r="BWB25" s="11"/>
      <c r="BWC25" s="11"/>
      <c r="BWD25" s="11"/>
      <c r="BWE25" s="11"/>
      <c r="BWF25" s="11"/>
      <c r="BWG25" s="11"/>
      <c r="BWH25" s="11"/>
      <c r="BWI25" s="11"/>
      <c r="BWJ25" s="11"/>
      <c r="BWK25" s="11"/>
      <c r="BWL25" s="11"/>
      <c r="BWM25" s="11"/>
      <c r="BWN25" s="11"/>
      <c r="BWO25" s="11"/>
      <c r="BWP25" s="11"/>
      <c r="BWQ25" s="11"/>
      <c r="BWR25" s="11"/>
      <c r="BWS25" s="11"/>
      <c r="BWT25" s="11"/>
      <c r="BWU25" s="11"/>
      <c r="BWV25" s="11"/>
      <c r="BWW25" s="11"/>
      <c r="BWX25" s="11"/>
      <c r="BWY25" s="11"/>
      <c r="BWZ25" s="11"/>
      <c r="BXA25" s="11"/>
      <c r="BXB25" s="11"/>
      <c r="BXC25" s="11"/>
      <c r="BXD25" s="11"/>
      <c r="BXE25" s="11"/>
      <c r="BXF25" s="11"/>
      <c r="BXG25" s="11"/>
      <c r="BXH25" s="11"/>
      <c r="BXI25" s="11"/>
      <c r="BXJ25" s="11"/>
      <c r="BXK25" s="11"/>
      <c r="BXL25" s="11"/>
      <c r="BXM25" s="11"/>
      <c r="BXN25" s="11"/>
      <c r="BXO25" s="11"/>
      <c r="BXP25" s="11"/>
      <c r="BXQ25" s="11"/>
      <c r="BXR25" s="11"/>
      <c r="BXS25" s="11"/>
      <c r="BXT25" s="11"/>
      <c r="BXU25" s="11"/>
      <c r="BXV25" s="11"/>
      <c r="BXW25" s="11"/>
      <c r="BXX25" s="11"/>
      <c r="BXY25" s="11"/>
      <c r="BXZ25" s="11"/>
      <c r="BYA25" s="11"/>
      <c r="BYB25" s="11"/>
      <c r="BYC25" s="11"/>
      <c r="BYD25" s="11"/>
      <c r="BYE25" s="11"/>
      <c r="BYF25" s="11"/>
      <c r="BYG25" s="11"/>
      <c r="BYH25" s="11"/>
      <c r="BYI25" s="11"/>
      <c r="BYJ25" s="11"/>
      <c r="BYK25" s="11"/>
      <c r="BYL25" s="11"/>
      <c r="BYM25" s="11"/>
      <c r="BYN25" s="11"/>
      <c r="BYO25" s="11"/>
      <c r="BYP25" s="11"/>
      <c r="BYQ25" s="11"/>
      <c r="BYR25" s="11"/>
      <c r="BYS25" s="11"/>
      <c r="BYT25" s="11"/>
      <c r="BYU25" s="11"/>
      <c r="BYV25" s="11"/>
      <c r="BYW25" s="11"/>
      <c r="BYX25" s="11"/>
      <c r="BYY25" s="11"/>
      <c r="BYZ25" s="11"/>
      <c r="BZA25" s="11"/>
      <c r="BZB25" s="11"/>
      <c r="BZC25" s="11"/>
      <c r="BZD25" s="11"/>
      <c r="BZE25" s="11"/>
      <c r="BZF25" s="11"/>
      <c r="BZG25" s="11"/>
      <c r="BZH25" s="11"/>
      <c r="BZI25" s="11"/>
      <c r="BZJ25" s="11"/>
      <c r="BZK25" s="11"/>
      <c r="BZL25" s="11"/>
      <c r="BZM25" s="11"/>
      <c r="BZN25" s="11"/>
      <c r="BZO25" s="11"/>
      <c r="BZP25" s="11"/>
      <c r="BZQ25" s="11"/>
      <c r="BZR25" s="11"/>
      <c r="BZS25" s="11"/>
      <c r="BZT25" s="11"/>
      <c r="BZU25" s="11"/>
      <c r="BZV25" s="11"/>
      <c r="BZW25" s="11"/>
      <c r="BZX25" s="11"/>
      <c r="BZY25" s="11"/>
      <c r="BZZ25" s="11"/>
      <c r="CAA25" s="11"/>
      <c r="CAB25" s="11"/>
      <c r="CAC25" s="11"/>
      <c r="CAD25" s="11"/>
      <c r="CAE25" s="11"/>
      <c r="CAF25" s="11"/>
      <c r="CAG25" s="11"/>
      <c r="CAH25" s="11"/>
      <c r="CAI25" s="11"/>
      <c r="CAJ25" s="11"/>
      <c r="CAK25" s="11"/>
      <c r="CAL25" s="11"/>
      <c r="CAM25" s="11"/>
      <c r="CAN25" s="11"/>
      <c r="CAO25" s="11"/>
      <c r="CAP25" s="11"/>
      <c r="CAQ25" s="11"/>
      <c r="CAR25" s="11"/>
      <c r="CAS25" s="11"/>
      <c r="CAT25" s="11"/>
      <c r="CAU25" s="11"/>
      <c r="CAV25" s="11"/>
      <c r="CAW25" s="11"/>
      <c r="CAX25" s="11"/>
      <c r="CAY25" s="11"/>
      <c r="CAZ25" s="11"/>
      <c r="CBA25" s="11"/>
      <c r="CBB25" s="11"/>
      <c r="CBC25" s="11"/>
      <c r="CBD25" s="11"/>
      <c r="CBE25" s="11"/>
      <c r="CBF25" s="11"/>
      <c r="CBG25" s="11"/>
      <c r="CBH25" s="11"/>
      <c r="CBI25" s="11"/>
      <c r="CBJ25" s="11"/>
      <c r="CBK25" s="11"/>
      <c r="CBL25" s="11"/>
      <c r="CBM25" s="11"/>
      <c r="CBN25" s="11"/>
      <c r="CBO25" s="11"/>
      <c r="CBP25" s="11"/>
      <c r="CBQ25" s="11"/>
      <c r="CBR25" s="11"/>
      <c r="CBS25" s="11"/>
      <c r="CBT25" s="11"/>
      <c r="CBU25" s="11"/>
      <c r="CBV25" s="11"/>
      <c r="CBW25" s="11"/>
      <c r="CBX25" s="11"/>
      <c r="CBY25" s="11"/>
      <c r="CBZ25" s="11"/>
      <c r="CCA25" s="11"/>
      <c r="CCB25" s="11"/>
      <c r="CCC25" s="11"/>
      <c r="CCD25" s="11"/>
      <c r="CCE25" s="11"/>
      <c r="CCF25" s="11"/>
      <c r="CCG25" s="11"/>
      <c r="CCH25" s="11"/>
      <c r="CCI25" s="11"/>
      <c r="CCJ25" s="11"/>
      <c r="CCK25" s="11"/>
      <c r="CCL25" s="11"/>
      <c r="CCM25" s="11"/>
      <c r="CCN25" s="11"/>
      <c r="CCO25" s="11"/>
      <c r="CCP25" s="11"/>
      <c r="CCQ25" s="11"/>
      <c r="CCR25" s="11"/>
      <c r="CCS25" s="11"/>
      <c r="CCT25" s="11"/>
      <c r="CCU25" s="11"/>
      <c r="CCV25" s="11"/>
      <c r="CCW25" s="11"/>
      <c r="CCX25" s="11"/>
      <c r="CCY25" s="11"/>
      <c r="CCZ25" s="11"/>
      <c r="CDA25" s="11"/>
      <c r="CDB25" s="11"/>
      <c r="CDC25" s="11"/>
      <c r="CDD25" s="11"/>
      <c r="CDE25" s="11"/>
      <c r="CDF25" s="11"/>
      <c r="CDG25" s="11"/>
      <c r="CDH25" s="11"/>
      <c r="CDI25" s="11"/>
      <c r="CDJ25" s="11"/>
      <c r="CDK25" s="11"/>
      <c r="CDL25" s="11"/>
      <c r="CDM25" s="11"/>
      <c r="CDN25" s="11"/>
      <c r="CDO25" s="11"/>
      <c r="CDP25" s="11"/>
      <c r="CDQ25" s="11"/>
      <c r="CDR25" s="11"/>
      <c r="CDS25" s="11"/>
      <c r="CDT25" s="11"/>
      <c r="CDU25" s="11"/>
      <c r="CDV25" s="11"/>
      <c r="CDW25" s="11"/>
      <c r="CDX25" s="11"/>
      <c r="CDY25" s="11"/>
      <c r="CDZ25" s="11"/>
      <c r="CEA25" s="11"/>
      <c r="CEB25" s="11"/>
      <c r="CEC25" s="11"/>
      <c r="CED25" s="11"/>
      <c r="CEE25" s="11"/>
      <c r="CEF25" s="11"/>
      <c r="CEG25" s="11"/>
      <c r="CEH25" s="11"/>
      <c r="CEI25" s="11"/>
      <c r="CEJ25" s="11"/>
      <c r="CEK25" s="11"/>
      <c r="CEL25" s="11"/>
      <c r="CEM25" s="11"/>
      <c r="CEN25" s="11"/>
      <c r="CEO25" s="11"/>
      <c r="CEP25" s="11"/>
      <c r="CEQ25" s="11"/>
      <c r="CER25" s="11"/>
      <c r="CES25" s="11"/>
      <c r="CET25" s="11"/>
      <c r="CEU25" s="11"/>
      <c r="CEV25" s="11"/>
      <c r="CEW25" s="11"/>
      <c r="CEX25" s="11"/>
      <c r="CEY25" s="11"/>
      <c r="CEZ25" s="11"/>
      <c r="CFA25" s="11"/>
      <c r="CFB25" s="11"/>
      <c r="CFC25" s="11"/>
      <c r="CFD25" s="11"/>
      <c r="CFE25" s="11"/>
      <c r="CFF25" s="11"/>
      <c r="CFG25" s="11"/>
      <c r="CFH25" s="11"/>
      <c r="CFI25" s="11"/>
      <c r="CFJ25" s="11"/>
      <c r="CFK25" s="11"/>
      <c r="CFL25" s="11"/>
      <c r="CFM25" s="11"/>
      <c r="CFN25" s="11"/>
      <c r="CFO25" s="11"/>
      <c r="CFP25" s="11"/>
      <c r="CFQ25" s="11"/>
      <c r="CFR25" s="11"/>
      <c r="CFS25" s="11"/>
      <c r="CFT25" s="11"/>
      <c r="CFU25" s="11"/>
      <c r="CFV25" s="11"/>
      <c r="CFW25" s="11"/>
      <c r="CFX25" s="11"/>
      <c r="CFY25" s="11"/>
      <c r="CFZ25" s="11"/>
      <c r="CGA25" s="11"/>
      <c r="CGB25" s="11"/>
      <c r="CGC25" s="11"/>
      <c r="CGD25" s="11"/>
      <c r="CGE25" s="11"/>
      <c r="CGF25" s="11"/>
      <c r="CGG25" s="11"/>
      <c r="CGH25" s="11"/>
      <c r="CGI25" s="11"/>
      <c r="CGJ25" s="11"/>
      <c r="CGK25" s="11"/>
      <c r="CGL25" s="11"/>
      <c r="CGM25" s="11"/>
      <c r="CGN25" s="11"/>
      <c r="CGO25" s="11"/>
      <c r="CGP25" s="11"/>
      <c r="CGQ25" s="11"/>
      <c r="CGR25" s="11"/>
      <c r="CGS25" s="11"/>
      <c r="CGT25" s="11"/>
      <c r="CGU25" s="11"/>
      <c r="CGV25" s="11"/>
      <c r="CGW25" s="11"/>
      <c r="CGX25" s="11"/>
      <c r="CGY25" s="11"/>
      <c r="CGZ25" s="11"/>
      <c r="CHA25" s="11"/>
      <c r="CHB25" s="11"/>
      <c r="CHC25" s="11"/>
      <c r="CHD25" s="11"/>
      <c r="CHE25" s="11"/>
      <c r="CHF25" s="11"/>
      <c r="CHG25" s="11"/>
      <c r="CHH25" s="11"/>
      <c r="CHI25" s="11"/>
      <c r="CHJ25" s="11"/>
      <c r="CHK25" s="11"/>
      <c r="CHL25" s="11"/>
      <c r="CHM25" s="11"/>
      <c r="CHN25" s="11"/>
      <c r="CHO25" s="11"/>
      <c r="CHP25" s="11"/>
      <c r="CHQ25" s="11"/>
      <c r="CHR25" s="11"/>
      <c r="CHS25" s="11"/>
      <c r="CHT25" s="11"/>
      <c r="CHU25" s="11"/>
      <c r="CHV25" s="11"/>
      <c r="CHW25" s="11"/>
      <c r="CHX25" s="11"/>
      <c r="CHY25" s="11"/>
      <c r="CHZ25" s="11"/>
      <c r="CIA25" s="11"/>
      <c r="CIB25" s="11"/>
      <c r="CIC25" s="11"/>
      <c r="CID25" s="11"/>
      <c r="CIE25" s="11"/>
      <c r="CIF25" s="11"/>
      <c r="CIG25" s="11"/>
      <c r="CIH25" s="11"/>
      <c r="CII25" s="11"/>
      <c r="CIJ25" s="11"/>
      <c r="CIK25" s="11"/>
      <c r="CIL25" s="11"/>
      <c r="CIM25" s="11"/>
      <c r="CIN25" s="11"/>
      <c r="CIO25" s="11"/>
      <c r="CIP25" s="11"/>
      <c r="CIQ25" s="11"/>
      <c r="CIR25" s="11"/>
      <c r="CIS25" s="11"/>
      <c r="CIT25" s="11"/>
      <c r="CIU25" s="11"/>
      <c r="CIV25" s="11"/>
      <c r="CIW25" s="11"/>
      <c r="CIX25" s="11"/>
      <c r="CIY25" s="11"/>
      <c r="CIZ25" s="11"/>
      <c r="CJA25" s="11"/>
      <c r="CJB25" s="11"/>
      <c r="CJC25" s="11"/>
      <c r="CJD25" s="11"/>
      <c r="CJE25" s="11"/>
      <c r="CJF25" s="11"/>
      <c r="CJG25" s="11"/>
      <c r="CJH25" s="11"/>
      <c r="CJI25" s="11"/>
      <c r="CJJ25" s="11"/>
      <c r="CJK25" s="11"/>
      <c r="CJL25" s="11"/>
      <c r="CJM25" s="11"/>
      <c r="CJN25" s="11"/>
      <c r="CJO25" s="11"/>
      <c r="CJP25" s="11"/>
      <c r="CJQ25" s="11"/>
      <c r="CJR25" s="11"/>
      <c r="CJS25" s="11"/>
      <c r="CJT25" s="11"/>
      <c r="CJU25" s="11"/>
      <c r="CJV25" s="11"/>
      <c r="CJW25" s="11"/>
      <c r="CJX25" s="11"/>
      <c r="CJY25" s="11"/>
      <c r="CJZ25" s="11"/>
      <c r="CKA25" s="11"/>
      <c r="CKB25" s="11"/>
      <c r="CKC25" s="11"/>
      <c r="CKD25" s="11"/>
      <c r="CKE25" s="11"/>
      <c r="CKF25" s="11"/>
      <c r="CKG25" s="11"/>
      <c r="CKH25" s="11"/>
      <c r="CKI25" s="11"/>
      <c r="CKJ25" s="11"/>
      <c r="CKK25" s="11"/>
      <c r="CKL25" s="11"/>
      <c r="CKM25" s="11"/>
      <c r="CKN25" s="11"/>
      <c r="CKO25" s="11"/>
      <c r="CKP25" s="11"/>
      <c r="CKQ25" s="11"/>
      <c r="CKR25" s="11"/>
      <c r="CKS25" s="11"/>
      <c r="CKT25" s="11"/>
      <c r="CKU25" s="11"/>
      <c r="CKV25" s="11"/>
      <c r="CKW25" s="11"/>
      <c r="CKX25" s="11"/>
      <c r="CKY25" s="11"/>
      <c r="CKZ25" s="11"/>
      <c r="CLA25" s="11"/>
      <c r="CLB25" s="11"/>
      <c r="CLC25" s="11"/>
      <c r="CLD25" s="11"/>
      <c r="CLE25" s="11"/>
      <c r="CLF25" s="11"/>
      <c r="CLG25" s="11"/>
      <c r="CLH25" s="11"/>
      <c r="CLI25" s="11"/>
      <c r="CLJ25" s="11"/>
      <c r="CLK25" s="11"/>
      <c r="CLL25" s="11"/>
      <c r="CLM25" s="11"/>
      <c r="CLN25" s="11"/>
      <c r="CLO25" s="11"/>
      <c r="CLP25" s="11"/>
      <c r="CLQ25" s="11"/>
      <c r="CLR25" s="11"/>
      <c r="CLS25" s="11"/>
      <c r="CLT25" s="11"/>
      <c r="CLU25" s="11"/>
      <c r="CLV25" s="11"/>
      <c r="CLW25" s="11"/>
      <c r="CLX25" s="11"/>
      <c r="CLY25" s="11"/>
      <c r="CLZ25" s="11"/>
      <c r="CMA25" s="11"/>
      <c r="CMB25" s="11"/>
      <c r="CMC25" s="11"/>
      <c r="CMD25" s="11"/>
      <c r="CME25" s="11"/>
      <c r="CMF25" s="11"/>
      <c r="CMG25" s="11"/>
      <c r="CMH25" s="11"/>
      <c r="CMI25" s="11"/>
      <c r="CMJ25" s="11"/>
      <c r="CMK25" s="11"/>
      <c r="CML25" s="11"/>
      <c r="CMM25" s="11"/>
      <c r="CMN25" s="11"/>
      <c r="CMO25" s="11"/>
      <c r="CMP25" s="11"/>
      <c r="CMQ25" s="11"/>
      <c r="CMR25" s="11"/>
      <c r="CMS25" s="11"/>
      <c r="CMT25" s="11"/>
      <c r="CMU25" s="11"/>
      <c r="CMV25" s="11"/>
      <c r="CMW25" s="11"/>
      <c r="CMX25" s="11"/>
      <c r="CMY25" s="11"/>
      <c r="CMZ25" s="11"/>
      <c r="CNA25" s="11"/>
      <c r="CNB25" s="11"/>
      <c r="CNC25" s="11"/>
      <c r="CND25" s="11"/>
      <c r="CNE25" s="11"/>
      <c r="CNF25" s="11"/>
      <c r="CNG25" s="11"/>
      <c r="CNH25" s="11"/>
      <c r="CNI25" s="11"/>
      <c r="CNJ25" s="11"/>
      <c r="CNK25" s="11"/>
      <c r="CNL25" s="11"/>
      <c r="CNM25" s="11"/>
      <c r="CNN25" s="11"/>
      <c r="CNO25" s="11"/>
      <c r="CNP25" s="11"/>
      <c r="CNQ25" s="11"/>
      <c r="CNR25" s="11"/>
      <c r="CNS25" s="11"/>
      <c r="CNT25" s="11"/>
      <c r="CNU25" s="11"/>
      <c r="CNV25" s="11"/>
      <c r="CNW25" s="11"/>
      <c r="CNX25" s="11"/>
      <c r="CNY25" s="11"/>
      <c r="CNZ25" s="11"/>
      <c r="COA25" s="11"/>
      <c r="COB25" s="11"/>
      <c r="COC25" s="11"/>
      <c r="COD25" s="11"/>
      <c r="COE25" s="11"/>
      <c r="COF25" s="11"/>
      <c r="COG25" s="11"/>
      <c r="COH25" s="11"/>
      <c r="COI25" s="11"/>
      <c r="COJ25" s="11"/>
      <c r="COK25" s="11"/>
      <c r="COL25" s="11"/>
      <c r="COM25" s="11"/>
      <c r="CON25" s="11"/>
      <c r="COO25" s="11"/>
      <c r="COP25" s="11"/>
      <c r="COQ25" s="11"/>
      <c r="COR25" s="11"/>
      <c r="COS25" s="11"/>
      <c r="COT25" s="11"/>
      <c r="COU25" s="11"/>
      <c r="COV25" s="11"/>
      <c r="COW25" s="11"/>
      <c r="COX25" s="11"/>
      <c r="COY25" s="11"/>
      <c r="COZ25" s="11"/>
      <c r="CPA25" s="11"/>
      <c r="CPB25" s="11"/>
      <c r="CPC25" s="11"/>
      <c r="CPD25" s="11"/>
      <c r="CPE25" s="11"/>
      <c r="CPF25" s="11"/>
      <c r="CPG25" s="11"/>
      <c r="CPH25" s="11"/>
      <c r="CPI25" s="11"/>
      <c r="CPJ25" s="11"/>
      <c r="CPK25" s="11"/>
      <c r="CPL25" s="11"/>
      <c r="CPM25" s="11"/>
      <c r="CPN25" s="11"/>
      <c r="CPO25" s="11"/>
      <c r="CPP25" s="11"/>
      <c r="CPQ25" s="11"/>
      <c r="CPR25" s="11"/>
      <c r="CPS25" s="11"/>
      <c r="CPT25" s="11"/>
      <c r="CPU25" s="11"/>
      <c r="CPV25" s="11"/>
      <c r="CPW25" s="11"/>
      <c r="CPX25" s="11"/>
      <c r="CPY25" s="11"/>
      <c r="CPZ25" s="11"/>
      <c r="CQA25" s="11"/>
      <c r="CQB25" s="11"/>
      <c r="CQC25" s="11"/>
      <c r="CQD25" s="11"/>
      <c r="CQE25" s="11"/>
      <c r="CQF25" s="11"/>
      <c r="CQG25" s="11"/>
      <c r="CQH25" s="11"/>
      <c r="CQI25" s="11"/>
      <c r="CQJ25" s="11"/>
      <c r="CQK25" s="11"/>
      <c r="CQL25" s="11"/>
      <c r="CQM25" s="11"/>
      <c r="CQN25" s="11"/>
      <c r="CQO25" s="11"/>
      <c r="CQP25" s="11"/>
      <c r="CQQ25" s="11"/>
      <c r="CQR25" s="11"/>
      <c r="CQS25" s="11"/>
      <c r="CQT25" s="11"/>
      <c r="CQU25" s="11"/>
      <c r="CQV25" s="11"/>
      <c r="CQW25" s="11"/>
      <c r="CQX25" s="11"/>
      <c r="CQY25" s="11"/>
      <c r="CQZ25" s="11"/>
      <c r="CRA25" s="11"/>
      <c r="CRB25" s="11"/>
      <c r="CRC25" s="11"/>
      <c r="CRD25" s="11"/>
      <c r="CRE25" s="11"/>
      <c r="CRF25" s="11"/>
      <c r="CRG25" s="11"/>
      <c r="CRH25" s="11"/>
      <c r="CRI25" s="11"/>
      <c r="CRJ25" s="11"/>
      <c r="CRK25" s="11"/>
      <c r="CRL25" s="11"/>
      <c r="CRM25" s="11"/>
      <c r="CRN25" s="11"/>
      <c r="CRO25" s="11"/>
      <c r="CRP25" s="11"/>
      <c r="CRQ25" s="11"/>
      <c r="CRR25" s="11"/>
      <c r="CRS25" s="11"/>
      <c r="CRT25" s="11"/>
      <c r="CRU25" s="11"/>
      <c r="CRV25" s="11"/>
      <c r="CRW25" s="11"/>
      <c r="CRX25" s="11"/>
      <c r="CRY25" s="11"/>
      <c r="CRZ25" s="11"/>
      <c r="CSA25" s="11"/>
      <c r="CSB25" s="11"/>
      <c r="CSC25" s="11"/>
      <c r="CSD25" s="11"/>
      <c r="CSE25" s="11"/>
      <c r="CSF25" s="11"/>
      <c r="CSG25" s="11"/>
      <c r="CSH25" s="11"/>
      <c r="CSI25" s="11"/>
      <c r="CSJ25" s="11"/>
      <c r="CSK25" s="11"/>
      <c r="CSL25" s="11"/>
      <c r="CSM25" s="11"/>
      <c r="CSN25" s="11"/>
      <c r="CSO25" s="11"/>
      <c r="CSP25" s="11"/>
      <c r="CSQ25" s="11"/>
      <c r="CSR25" s="11"/>
      <c r="CSS25" s="11"/>
      <c r="CST25" s="11"/>
      <c r="CSU25" s="11"/>
      <c r="CSV25" s="11"/>
      <c r="CSW25" s="11"/>
      <c r="CSX25" s="11"/>
      <c r="CSY25" s="11"/>
      <c r="CSZ25" s="11"/>
      <c r="CTA25" s="11"/>
      <c r="CTB25" s="11"/>
      <c r="CTC25" s="11"/>
      <c r="CTD25" s="11"/>
      <c r="CTE25" s="11"/>
      <c r="CTF25" s="11"/>
      <c r="CTG25" s="11"/>
      <c r="CTH25" s="11"/>
      <c r="CTI25" s="11"/>
      <c r="CTJ25" s="11"/>
      <c r="CTK25" s="11"/>
    </row>
    <row r="26" s="5" customFormat="1" ht="63" hidden="1" customHeight="1" spans="1:1024 1025:2562">
      <c r="A26" s="30">
        <v>17</v>
      </c>
      <c r="B26" s="30" t="s">
        <v>128</v>
      </c>
      <c r="C26" s="30" t="s">
        <v>22</v>
      </c>
      <c r="D26" s="30" t="s">
        <v>129</v>
      </c>
      <c r="E26" s="35">
        <v>70000</v>
      </c>
      <c r="F26" s="35">
        <v>1100</v>
      </c>
      <c r="G26" s="35">
        <v>20000</v>
      </c>
      <c r="H26" s="35"/>
      <c r="I26" s="35"/>
      <c r="J26" s="35"/>
      <c r="K26" s="28">
        <f t="shared" si="0"/>
        <v>0</v>
      </c>
      <c r="L26" s="35"/>
      <c r="M26" s="35"/>
      <c r="N26" s="30" t="s">
        <v>126</v>
      </c>
      <c r="O26" s="30" t="s">
        <v>130</v>
      </c>
      <c r="P26" s="30" t="s">
        <v>27</v>
      </c>
      <c r="Q26" s="30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/>
      <c r="AXA26" s="11"/>
      <c r="AXB26" s="11"/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  <c r="BKJ26" s="11"/>
      <c r="BKK26" s="11"/>
      <c r="BKL26" s="11"/>
      <c r="BKM26" s="11"/>
      <c r="BKN26" s="11"/>
      <c r="BKO26" s="11"/>
      <c r="BKP26" s="11"/>
      <c r="BKQ26" s="11"/>
      <c r="BKR26" s="11"/>
      <c r="BKS26" s="11"/>
      <c r="BKT26" s="11"/>
      <c r="BKU26" s="11"/>
      <c r="BKV26" s="11"/>
      <c r="BKW26" s="11"/>
      <c r="BKX26" s="11"/>
      <c r="BKY26" s="11"/>
      <c r="BKZ26" s="11"/>
      <c r="BLA26" s="11"/>
      <c r="BLB26" s="11"/>
      <c r="BLC26" s="11"/>
      <c r="BLD26" s="11"/>
      <c r="BLE26" s="11"/>
      <c r="BLF26" s="11"/>
      <c r="BLG26" s="11"/>
      <c r="BLH26" s="11"/>
      <c r="BLI26" s="11"/>
      <c r="BLJ26" s="11"/>
      <c r="BLK26" s="11"/>
      <c r="BLL26" s="11"/>
      <c r="BLM26" s="11"/>
      <c r="BLN26" s="11"/>
      <c r="BLO26" s="11"/>
      <c r="BLP26" s="11"/>
      <c r="BLQ26" s="11"/>
      <c r="BLR26" s="11"/>
      <c r="BLS26" s="11"/>
      <c r="BLT26" s="11"/>
      <c r="BLU26" s="11"/>
      <c r="BLV26" s="11"/>
      <c r="BLW26" s="11"/>
      <c r="BLX26" s="11"/>
      <c r="BLY26" s="11"/>
      <c r="BLZ26" s="11"/>
      <c r="BMA26" s="11"/>
      <c r="BMB26" s="11"/>
      <c r="BMC26" s="11"/>
      <c r="BMD26" s="11"/>
      <c r="BME26" s="11"/>
      <c r="BMF26" s="11"/>
      <c r="BMG26" s="11"/>
      <c r="BMH26" s="11"/>
      <c r="BMI26" s="11"/>
      <c r="BMJ26" s="11"/>
      <c r="BMK26" s="11"/>
      <c r="BML26" s="11"/>
      <c r="BMM26" s="11"/>
      <c r="BMN26" s="11"/>
      <c r="BMO26" s="11"/>
      <c r="BMP26" s="11"/>
      <c r="BMQ26" s="11"/>
      <c r="BMR26" s="11"/>
      <c r="BMS26" s="11"/>
      <c r="BMT26" s="11"/>
      <c r="BMU26" s="11"/>
      <c r="BMV26" s="11"/>
      <c r="BMW26" s="11"/>
      <c r="BMX26" s="11"/>
      <c r="BMY26" s="11"/>
      <c r="BMZ26" s="11"/>
      <c r="BNA26" s="11"/>
      <c r="BNB26" s="11"/>
      <c r="BNC26" s="11"/>
      <c r="BND26" s="11"/>
      <c r="BNE26" s="11"/>
      <c r="BNF26" s="11"/>
      <c r="BNG26" s="11"/>
      <c r="BNH26" s="11"/>
      <c r="BNI26" s="11"/>
      <c r="BNJ26" s="11"/>
      <c r="BNK26" s="11"/>
      <c r="BNL26" s="11"/>
      <c r="BNM26" s="11"/>
      <c r="BNN26" s="11"/>
      <c r="BNO26" s="11"/>
      <c r="BNP26" s="11"/>
      <c r="BNQ26" s="11"/>
      <c r="BNR26" s="11"/>
      <c r="BNS26" s="11"/>
      <c r="BNT26" s="11"/>
      <c r="BNU26" s="11"/>
      <c r="BNV26" s="11"/>
      <c r="BNW26" s="11"/>
      <c r="BNX26" s="11"/>
      <c r="BNY26" s="11"/>
      <c r="BNZ26" s="11"/>
      <c r="BOA26" s="11"/>
      <c r="BOB26" s="11"/>
      <c r="BOC26" s="11"/>
      <c r="BOD26" s="11"/>
      <c r="BOE26" s="11"/>
      <c r="BOF26" s="11"/>
      <c r="BOG26" s="11"/>
      <c r="BOH26" s="11"/>
      <c r="BOI26" s="11"/>
      <c r="BOJ26" s="11"/>
      <c r="BOK26" s="11"/>
      <c r="BOL26" s="11"/>
      <c r="BOM26" s="11"/>
      <c r="BON26" s="11"/>
      <c r="BOO26" s="11"/>
      <c r="BOP26" s="11"/>
      <c r="BOQ26" s="11"/>
      <c r="BOR26" s="11"/>
      <c r="BOS26" s="11"/>
      <c r="BOT26" s="11"/>
      <c r="BOU26" s="11"/>
      <c r="BOV26" s="11"/>
      <c r="BOW26" s="11"/>
      <c r="BOX26" s="11"/>
      <c r="BOY26" s="11"/>
      <c r="BOZ26" s="11"/>
      <c r="BPA26" s="11"/>
      <c r="BPB26" s="11"/>
      <c r="BPC26" s="11"/>
      <c r="BPD26" s="11"/>
      <c r="BPE26" s="11"/>
      <c r="BPF26" s="11"/>
      <c r="BPG26" s="11"/>
      <c r="BPH26" s="11"/>
      <c r="BPI26" s="11"/>
      <c r="BPJ26" s="11"/>
      <c r="BPK26" s="11"/>
      <c r="BPL26" s="11"/>
      <c r="BPM26" s="11"/>
      <c r="BPN26" s="11"/>
      <c r="BPO26" s="11"/>
      <c r="BPP26" s="11"/>
      <c r="BPQ26" s="11"/>
      <c r="BPR26" s="11"/>
      <c r="BPS26" s="11"/>
      <c r="BPT26" s="11"/>
      <c r="BPU26" s="11"/>
      <c r="BPV26" s="11"/>
      <c r="BPW26" s="11"/>
      <c r="BPX26" s="11"/>
      <c r="BPY26" s="11"/>
      <c r="BPZ26" s="11"/>
      <c r="BQA26" s="11"/>
      <c r="BQB26" s="11"/>
      <c r="BQC26" s="11"/>
      <c r="BQD26" s="11"/>
      <c r="BQE26" s="11"/>
      <c r="BQF26" s="11"/>
      <c r="BQG26" s="11"/>
      <c r="BQH26" s="11"/>
      <c r="BQI26" s="11"/>
      <c r="BQJ26" s="11"/>
      <c r="BQK26" s="11"/>
      <c r="BQL26" s="11"/>
      <c r="BQM26" s="11"/>
      <c r="BQN26" s="11"/>
      <c r="BQO26" s="11"/>
      <c r="BQP26" s="11"/>
      <c r="BQQ26" s="11"/>
      <c r="BQR26" s="11"/>
      <c r="BQS26" s="11"/>
      <c r="BQT26" s="11"/>
      <c r="BQU26" s="11"/>
      <c r="BQV26" s="11"/>
      <c r="BQW26" s="11"/>
      <c r="BQX26" s="11"/>
      <c r="BQY26" s="11"/>
      <c r="BQZ26" s="11"/>
      <c r="BRA26" s="11"/>
      <c r="BRB26" s="11"/>
      <c r="BRC26" s="11"/>
      <c r="BRD26" s="11"/>
      <c r="BRE26" s="11"/>
      <c r="BRF26" s="11"/>
      <c r="BRG26" s="11"/>
      <c r="BRH26" s="11"/>
      <c r="BRI26" s="11"/>
      <c r="BRJ26" s="11"/>
      <c r="BRK26" s="11"/>
      <c r="BRL26" s="11"/>
      <c r="BRM26" s="11"/>
      <c r="BRN26" s="11"/>
      <c r="BRO26" s="11"/>
      <c r="BRP26" s="11"/>
      <c r="BRQ26" s="11"/>
      <c r="BRR26" s="11"/>
      <c r="BRS26" s="11"/>
      <c r="BRT26" s="11"/>
      <c r="BRU26" s="11"/>
      <c r="BRV26" s="11"/>
      <c r="BRW26" s="11"/>
      <c r="BRX26" s="11"/>
      <c r="BRY26" s="11"/>
      <c r="BRZ26" s="11"/>
      <c r="BSA26" s="11"/>
      <c r="BSB26" s="11"/>
      <c r="BSC26" s="11"/>
      <c r="BSD26" s="11"/>
      <c r="BSE26" s="11"/>
      <c r="BSF26" s="11"/>
      <c r="BSG26" s="11"/>
      <c r="BSH26" s="11"/>
      <c r="BSI26" s="11"/>
      <c r="BSJ26" s="11"/>
      <c r="BSK26" s="11"/>
      <c r="BSL26" s="11"/>
      <c r="BSM26" s="11"/>
      <c r="BSN26" s="11"/>
      <c r="BSO26" s="11"/>
      <c r="BSP26" s="11"/>
      <c r="BSQ26" s="11"/>
      <c r="BSR26" s="11"/>
      <c r="BSS26" s="11"/>
      <c r="BST26" s="11"/>
      <c r="BSU26" s="11"/>
      <c r="BSV26" s="11"/>
      <c r="BSW26" s="11"/>
      <c r="BSX26" s="11"/>
      <c r="BSY26" s="11"/>
      <c r="BSZ26" s="11"/>
      <c r="BTA26" s="11"/>
      <c r="BTB26" s="11"/>
      <c r="BTC26" s="11"/>
      <c r="BTD26" s="11"/>
      <c r="BTE26" s="11"/>
      <c r="BTF26" s="11"/>
      <c r="BTG26" s="11"/>
      <c r="BTH26" s="11"/>
      <c r="BTI26" s="11"/>
      <c r="BTJ26" s="11"/>
      <c r="BTK26" s="11"/>
      <c r="BTL26" s="11"/>
      <c r="BTM26" s="11"/>
      <c r="BTN26" s="11"/>
      <c r="BTO26" s="11"/>
      <c r="BTP26" s="11"/>
      <c r="BTQ26" s="11"/>
      <c r="BTR26" s="11"/>
      <c r="BTS26" s="11"/>
      <c r="BTT26" s="11"/>
      <c r="BTU26" s="11"/>
      <c r="BTV26" s="11"/>
      <c r="BTW26" s="11"/>
      <c r="BTX26" s="11"/>
      <c r="BTY26" s="11"/>
      <c r="BTZ26" s="11"/>
      <c r="BUA26" s="11"/>
      <c r="BUB26" s="11"/>
      <c r="BUC26" s="11"/>
      <c r="BUD26" s="11"/>
      <c r="BUE26" s="11"/>
      <c r="BUF26" s="11"/>
      <c r="BUG26" s="11"/>
      <c r="BUH26" s="11"/>
      <c r="BUI26" s="11"/>
      <c r="BUJ26" s="11"/>
      <c r="BUK26" s="11"/>
      <c r="BUL26" s="11"/>
      <c r="BUM26" s="11"/>
      <c r="BUN26" s="11"/>
      <c r="BUO26" s="11"/>
      <c r="BUP26" s="11"/>
      <c r="BUQ26" s="11"/>
      <c r="BUR26" s="11"/>
      <c r="BUS26" s="11"/>
      <c r="BUT26" s="11"/>
      <c r="BUU26" s="11"/>
      <c r="BUV26" s="11"/>
      <c r="BUW26" s="11"/>
      <c r="BUX26" s="11"/>
      <c r="BUY26" s="11"/>
      <c r="BUZ26" s="11"/>
      <c r="BVA26" s="11"/>
      <c r="BVB26" s="11"/>
      <c r="BVC26" s="11"/>
      <c r="BVD26" s="11"/>
      <c r="BVE26" s="11"/>
      <c r="BVF26" s="11"/>
      <c r="BVG26" s="11"/>
      <c r="BVH26" s="11"/>
      <c r="BVI26" s="11"/>
      <c r="BVJ26" s="11"/>
      <c r="BVK26" s="11"/>
      <c r="BVL26" s="11"/>
      <c r="BVM26" s="11"/>
      <c r="BVN26" s="11"/>
      <c r="BVO26" s="11"/>
      <c r="BVP26" s="11"/>
      <c r="BVQ26" s="11"/>
      <c r="BVR26" s="11"/>
      <c r="BVS26" s="11"/>
      <c r="BVT26" s="11"/>
      <c r="BVU26" s="11"/>
      <c r="BVV26" s="11"/>
      <c r="BVW26" s="11"/>
      <c r="BVX26" s="11"/>
      <c r="BVY26" s="11"/>
      <c r="BVZ26" s="11"/>
      <c r="BWA26" s="11"/>
      <c r="BWB26" s="11"/>
      <c r="BWC26" s="11"/>
      <c r="BWD26" s="11"/>
      <c r="BWE26" s="11"/>
      <c r="BWF26" s="11"/>
      <c r="BWG26" s="11"/>
      <c r="BWH26" s="11"/>
      <c r="BWI26" s="11"/>
      <c r="BWJ26" s="11"/>
      <c r="BWK26" s="11"/>
      <c r="BWL26" s="11"/>
      <c r="BWM26" s="11"/>
      <c r="BWN26" s="11"/>
      <c r="BWO26" s="11"/>
      <c r="BWP26" s="11"/>
      <c r="BWQ26" s="11"/>
      <c r="BWR26" s="11"/>
      <c r="BWS26" s="11"/>
      <c r="BWT26" s="11"/>
      <c r="BWU26" s="11"/>
      <c r="BWV26" s="11"/>
      <c r="BWW26" s="11"/>
      <c r="BWX26" s="11"/>
      <c r="BWY26" s="11"/>
      <c r="BWZ26" s="11"/>
      <c r="BXA26" s="11"/>
      <c r="BXB26" s="11"/>
      <c r="BXC26" s="11"/>
      <c r="BXD26" s="11"/>
      <c r="BXE26" s="11"/>
      <c r="BXF26" s="11"/>
      <c r="BXG26" s="11"/>
      <c r="BXH26" s="11"/>
      <c r="BXI26" s="11"/>
      <c r="BXJ26" s="11"/>
      <c r="BXK26" s="11"/>
      <c r="BXL26" s="11"/>
      <c r="BXM26" s="11"/>
      <c r="BXN26" s="11"/>
      <c r="BXO26" s="11"/>
      <c r="BXP26" s="11"/>
      <c r="BXQ26" s="11"/>
      <c r="BXR26" s="11"/>
      <c r="BXS26" s="11"/>
      <c r="BXT26" s="11"/>
      <c r="BXU26" s="11"/>
      <c r="BXV26" s="11"/>
      <c r="BXW26" s="11"/>
      <c r="BXX26" s="11"/>
      <c r="BXY26" s="11"/>
      <c r="BXZ26" s="11"/>
      <c r="BYA26" s="11"/>
      <c r="BYB26" s="11"/>
      <c r="BYC26" s="11"/>
      <c r="BYD26" s="11"/>
      <c r="BYE26" s="11"/>
      <c r="BYF26" s="11"/>
      <c r="BYG26" s="11"/>
      <c r="BYH26" s="11"/>
      <c r="BYI26" s="11"/>
      <c r="BYJ26" s="11"/>
      <c r="BYK26" s="11"/>
      <c r="BYL26" s="11"/>
      <c r="BYM26" s="11"/>
      <c r="BYN26" s="11"/>
      <c r="BYO26" s="11"/>
      <c r="BYP26" s="11"/>
      <c r="BYQ26" s="11"/>
      <c r="BYR26" s="11"/>
      <c r="BYS26" s="11"/>
      <c r="BYT26" s="11"/>
      <c r="BYU26" s="11"/>
      <c r="BYV26" s="11"/>
      <c r="BYW26" s="11"/>
      <c r="BYX26" s="11"/>
      <c r="BYY26" s="11"/>
      <c r="BYZ26" s="11"/>
      <c r="BZA26" s="11"/>
      <c r="BZB26" s="11"/>
      <c r="BZC26" s="11"/>
      <c r="BZD26" s="11"/>
      <c r="BZE26" s="11"/>
      <c r="BZF26" s="11"/>
      <c r="BZG26" s="11"/>
      <c r="BZH26" s="11"/>
      <c r="BZI26" s="11"/>
      <c r="BZJ26" s="11"/>
      <c r="BZK26" s="11"/>
      <c r="BZL26" s="11"/>
      <c r="BZM26" s="11"/>
      <c r="BZN26" s="11"/>
      <c r="BZO26" s="11"/>
      <c r="BZP26" s="11"/>
      <c r="BZQ26" s="11"/>
      <c r="BZR26" s="11"/>
      <c r="BZS26" s="11"/>
      <c r="BZT26" s="11"/>
      <c r="BZU26" s="11"/>
      <c r="BZV26" s="11"/>
      <c r="BZW26" s="11"/>
      <c r="BZX26" s="11"/>
      <c r="BZY26" s="11"/>
      <c r="BZZ26" s="11"/>
      <c r="CAA26" s="11"/>
      <c r="CAB26" s="11"/>
      <c r="CAC26" s="11"/>
      <c r="CAD26" s="11"/>
      <c r="CAE26" s="11"/>
      <c r="CAF26" s="11"/>
      <c r="CAG26" s="11"/>
      <c r="CAH26" s="11"/>
      <c r="CAI26" s="11"/>
      <c r="CAJ26" s="11"/>
      <c r="CAK26" s="11"/>
      <c r="CAL26" s="11"/>
      <c r="CAM26" s="11"/>
      <c r="CAN26" s="11"/>
      <c r="CAO26" s="11"/>
      <c r="CAP26" s="11"/>
      <c r="CAQ26" s="11"/>
      <c r="CAR26" s="11"/>
      <c r="CAS26" s="11"/>
      <c r="CAT26" s="11"/>
      <c r="CAU26" s="11"/>
      <c r="CAV26" s="11"/>
      <c r="CAW26" s="11"/>
      <c r="CAX26" s="11"/>
      <c r="CAY26" s="11"/>
      <c r="CAZ26" s="11"/>
      <c r="CBA26" s="11"/>
      <c r="CBB26" s="11"/>
      <c r="CBC26" s="11"/>
      <c r="CBD26" s="11"/>
      <c r="CBE26" s="11"/>
      <c r="CBF26" s="11"/>
      <c r="CBG26" s="11"/>
      <c r="CBH26" s="11"/>
      <c r="CBI26" s="11"/>
      <c r="CBJ26" s="11"/>
      <c r="CBK26" s="11"/>
      <c r="CBL26" s="11"/>
      <c r="CBM26" s="11"/>
      <c r="CBN26" s="11"/>
      <c r="CBO26" s="11"/>
      <c r="CBP26" s="11"/>
      <c r="CBQ26" s="11"/>
      <c r="CBR26" s="11"/>
      <c r="CBS26" s="11"/>
      <c r="CBT26" s="11"/>
      <c r="CBU26" s="11"/>
      <c r="CBV26" s="11"/>
      <c r="CBW26" s="11"/>
      <c r="CBX26" s="11"/>
      <c r="CBY26" s="11"/>
      <c r="CBZ26" s="11"/>
      <c r="CCA26" s="11"/>
      <c r="CCB26" s="11"/>
      <c r="CCC26" s="11"/>
      <c r="CCD26" s="11"/>
      <c r="CCE26" s="11"/>
      <c r="CCF26" s="11"/>
      <c r="CCG26" s="11"/>
      <c r="CCH26" s="11"/>
      <c r="CCI26" s="11"/>
      <c r="CCJ26" s="11"/>
      <c r="CCK26" s="11"/>
      <c r="CCL26" s="11"/>
      <c r="CCM26" s="11"/>
      <c r="CCN26" s="11"/>
      <c r="CCO26" s="11"/>
      <c r="CCP26" s="11"/>
      <c r="CCQ26" s="11"/>
      <c r="CCR26" s="11"/>
      <c r="CCS26" s="11"/>
      <c r="CCT26" s="11"/>
      <c r="CCU26" s="11"/>
      <c r="CCV26" s="11"/>
      <c r="CCW26" s="11"/>
      <c r="CCX26" s="11"/>
      <c r="CCY26" s="11"/>
      <c r="CCZ26" s="11"/>
      <c r="CDA26" s="11"/>
      <c r="CDB26" s="11"/>
      <c r="CDC26" s="11"/>
      <c r="CDD26" s="11"/>
      <c r="CDE26" s="11"/>
      <c r="CDF26" s="11"/>
      <c r="CDG26" s="11"/>
      <c r="CDH26" s="11"/>
      <c r="CDI26" s="11"/>
      <c r="CDJ26" s="11"/>
      <c r="CDK26" s="11"/>
      <c r="CDL26" s="11"/>
      <c r="CDM26" s="11"/>
      <c r="CDN26" s="11"/>
      <c r="CDO26" s="11"/>
      <c r="CDP26" s="11"/>
      <c r="CDQ26" s="11"/>
      <c r="CDR26" s="11"/>
      <c r="CDS26" s="11"/>
      <c r="CDT26" s="11"/>
      <c r="CDU26" s="11"/>
      <c r="CDV26" s="11"/>
      <c r="CDW26" s="11"/>
      <c r="CDX26" s="11"/>
      <c r="CDY26" s="11"/>
      <c r="CDZ26" s="11"/>
      <c r="CEA26" s="11"/>
      <c r="CEB26" s="11"/>
      <c r="CEC26" s="11"/>
      <c r="CED26" s="11"/>
      <c r="CEE26" s="11"/>
      <c r="CEF26" s="11"/>
      <c r="CEG26" s="11"/>
      <c r="CEH26" s="11"/>
      <c r="CEI26" s="11"/>
      <c r="CEJ26" s="11"/>
      <c r="CEK26" s="11"/>
      <c r="CEL26" s="11"/>
      <c r="CEM26" s="11"/>
      <c r="CEN26" s="11"/>
      <c r="CEO26" s="11"/>
      <c r="CEP26" s="11"/>
      <c r="CEQ26" s="11"/>
      <c r="CER26" s="11"/>
      <c r="CES26" s="11"/>
      <c r="CET26" s="11"/>
      <c r="CEU26" s="11"/>
      <c r="CEV26" s="11"/>
      <c r="CEW26" s="11"/>
      <c r="CEX26" s="11"/>
      <c r="CEY26" s="11"/>
      <c r="CEZ26" s="11"/>
      <c r="CFA26" s="11"/>
      <c r="CFB26" s="11"/>
      <c r="CFC26" s="11"/>
      <c r="CFD26" s="11"/>
      <c r="CFE26" s="11"/>
      <c r="CFF26" s="11"/>
      <c r="CFG26" s="11"/>
      <c r="CFH26" s="11"/>
      <c r="CFI26" s="11"/>
      <c r="CFJ26" s="11"/>
      <c r="CFK26" s="11"/>
      <c r="CFL26" s="11"/>
      <c r="CFM26" s="11"/>
      <c r="CFN26" s="11"/>
      <c r="CFO26" s="11"/>
      <c r="CFP26" s="11"/>
      <c r="CFQ26" s="11"/>
      <c r="CFR26" s="11"/>
      <c r="CFS26" s="11"/>
      <c r="CFT26" s="11"/>
      <c r="CFU26" s="11"/>
      <c r="CFV26" s="11"/>
      <c r="CFW26" s="11"/>
      <c r="CFX26" s="11"/>
      <c r="CFY26" s="11"/>
      <c r="CFZ26" s="11"/>
      <c r="CGA26" s="11"/>
      <c r="CGB26" s="11"/>
      <c r="CGC26" s="11"/>
      <c r="CGD26" s="11"/>
      <c r="CGE26" s="11"/>
      <c r="CGF26" s="11"/>
      <c r="CGG26" s="11"/>
      <c r="CGH26" s="11"/>
      <c r="CGI26" s="11"/>
      <c r="CGJ26" s="11"/>
      <c r="CGK26" s="11"/>
      <c r="CGL26" s="11"/>
      <c r="CGM26" s="11"/>
      <c r="CGN26" s="11"/>
      <c r="CGO26" s="11"/>
      <c r="CGP26" s="11"/>
      <c r="CGQ26" s="11"/>
      <c r="CGR26" s="11"/>
      <c r="CGS26" s="11"/>
      <c r="CGT26" s="11"/>
      <c r="CGU26" s="11"/>
      <c r="CGV26" s="11"/>
      <c r="CGW26" s="11"/>
      <c r="CGX26" s="11"/>
      <c r="CGY26" s="11"/>
      <c r="CGZ26" s="11"/>
      <c r="CHA26" s="11"/>
      <c r="CHB26" s="11"/>
      <c r="CHC26" s="11"/>
      <c r="CHD26" s="11"/>
      <c r="CHE26" s="11"/>
      <c r="CHF26" s="11"/>
      <c r="CHG26" s="11"/>
      <c r="CHH26" s="11"/>
      <c r="CHI26" s="11"/>
      <c r="CHJ26" s="11"/>
      <c r="CHK26" s="11"/>
      <c r="CHL26" s="11"/>
      <c r="CHM26" s="11"/>
      <c r="CHN26" s="11"/>
      <c r="CHO26" s="11"/>
      <c r="CHP26" s="11"/>
      <c r="CHQ26" s="11"/>
      <c r="CHR26" s="11"/>
      <c r="CHS26" s="11"/>
      <c r="CHT26" s="11"/>
      <c r="CHU26" s="11"/>
      <c r="CHV26" s="11"/>
      <c r="CHW26" s="11"/>
      <c r="CHX26" s="11"/>
      <c r="CHY26" s="11"/>
      <c r="CHZ26" s="11"/>
      <c r="CIA26" s="11"/>
      <c r="CIB26" s="11"/>
      <c r="CIC26" s="11"/>
      <c r="CID26" s="11"/>
      <c r="CIE26" s="11"/>
      <c r="CIF26" s="11"/>
      <c r="CIG26" s="11"/>
      <c r="CIH26" s="11"/>
      <c r="CII26" s="11"/>
      <c r="CIJ26" s="11"/>
      <c r="CIK26" s="11"/>
      <c r="CIL26" s="11"/>
      <c r="CIM26" s="11"/>
      <c r="CIN26" s="11"/>
      <c r="CIO26" s="11"/>
      <c r="CIP26" s="11"/>
      <c r="CIQ26" s="11"/>
      <c r="CIR26" s="11"/>
      <c r="CIS26" s="11"/>
      <c r="CIT26" s="11"/>
      <c r="CIU26" s="11"/>
      <c r="CIV26" s="11"/>
      <c r="CIW26" s="11"/>
      <c r="CIX26" s="11"/>
      <c r="CIY26" s="11"/>
      <c r="CIZ26" s="11"/>
      <c r="CJA26" s="11"/>
      <c r="CJB26" s="11"/>
      <c r="CJC26" s="11"/>
      <c r="CJD26" s="11"/>
      <c r="CJE26" s="11"/>
      <c r="CJF26" s="11"/>
      <c r="CJG26" s="11"/>
      <c r="CJH26" s="11"/>
      <c r="CJI26" s="11"/>
      <c r="CJJ26" s="11"/>
      <c r="CJK26" s="11"/>
      <c r="CJL26" s="11"/>
      <c r="CJM26" s="11"/>
      <c r="CJN26" s="11"/>
      <c r="CJO26" s="11"/>
      <c r="CJP26" s="11"/>
      <c r="CJQ26" s="11"/>
      <c r="CJR26" s="11"/>
      <c r="CJS26" s="11"/>
      <c r="CJT26" s="11"/>
      <c r="CJU26" s="11"/>
      <c r="CJV26" s="11"/>
      <c r="CJW26" s="11"/>
      <c r="CJX26" s="11"/>
      <c r="CJY26" s="11"/>
      <c r="CJZ26" s="11"/>
      <c r="CKA26" s="11"/>
      <c r="CKB26" s="11"/>
      <c r="CKC26" s="11"/>
      <c r="CKD26" s="11"/>
      <c r="CKE26" s="11"/>
      <c r="CKF26" s="11"/>
      <c r="CKG26" s="11"/>
      <c r="CKH26" s="11"/>
      <c r="CKI26" s="11"/>
      <c r="CKJ26" s="11"/>
      <c r="CKK26" s="11"/>
      <c r="CKL26" s="11"/>
      <c r="CKM26" s="11"/>
      <c r="CKN26" s="11"/>
      <c r="CKO26" s="11"/>
      <c r="CKP26" s="11"/>
      <c r="CKQ26" s="11"/>
      <c r="CKR26" s="11"/>
      <c r="CKS26" s="11"/>
      <c r="CKT26" s="11"/>
      <c r="CKU26" s="11"/>
      <c r="CKV26" s="11"/>
      <c r="CKW26" s="11"/>
      <c r="CKX26" s="11"/>
      <c r="CKY26" s="11"/>
      <c r="CKZ26" s="11"/>
      <c r="CLA26" s="11"/>
      <c r="CLB26" s="11"/>
      <c r="CLC26" s="11"/>
      <c r="CLD26" s="11"/>
      <c r="CLE26" s="11"/>
      <c r="CLF26" s="11"/>
      <c r="CLG26" s="11"/>
      <c r="CLH26" s="11"/>
      <c r="CLI26" s="11"/>
      <c r="CLJ26" s="11"/>
      <c r="CLK26" s="11"/>
      <c r="CLL26" s="11"/>
      <c r="CLM26" s="11"/>
      <c r="CLN26" s="11"/>
      <c r="CLO26" s="11"/>
      <c r="CLP26" s="11"/>
      <c r="CLQ26" s="11"/>
      <c r="CLR26" s="11"/>
      <c r="CLS26" s="11"/>
      <c r="CLT26" s="11"/>
      <c r="CLU26" s="11"/>
      <c r="CLV26" s="11"/>
      <c r="CLW26" s="11"/>
      <c r="CLX26" s="11"/>
      <c r="CLY26" s="11"/>
      <c r="CLZ26" s="11"/>
      <c r="CMA26" s="11"/>
      <c r="CMB26" s="11"/>
      <c r="CMC26" s="11"/>
      <c r="CMD26" s="11"/>
      <c r="CME26" s="11"/>
      <c r="CMF26" s="11"/>
      <c r="CMG26" s="11"/>
      <c r="CMH26" s="11"/>
      <c r="CMI26" s="11"/>
      <c r="CMJ26" s="11"/>
      <c r="CMK26" s="11"/>
      <c r="CML26" s="11"/>
      <c r="CMM26" s="11"/>
      <c r="CMN26" s="11"/>
      <c r="CMO26" s="11"/>
      <c r="CMP26" s="11"/>
      <c r="CMQ26" s="11"/>
      <c r="CMR26" s="11"/>
      <c r="CMS26" s="11"/>
      <c r="CMT26" s="11"/>
      <c r="CMU26" s="11"/>
      <c r="CMV26" s="11"/>
      <c r="CMW26" s="11"/>
      <c r="CMX26" s="11"/>
      <c r="CMY26" s="11"/>
      <c r="CMZ26" s="11"/>
      <c r="CNA26" s="11"/>
      <c r="CNB26" s="11"/>
      <c r="CNC26" s="11"/>
      <c r="CND26" s="11"/>
      <c r="CNE26" s="11"/>
      <c r="CNF26" s="11"/>
      <c r="CNG26" s="11"/>
      <c r="CNH26" s="11"/>
      <c r="CNI26" s="11"/>
      <c r="CNJ26" s="11"/>
      <c r="CNK26" s="11"/>
      <c r="CNL26" s="11"/>
      <c r="CNM26" s="11"/>
      <c r="CNN26" s="11"/>
      <c r="CNO26" s="11"/>
      <c r="CNP26" s="11"/>
      <c r="CNQ26" s="11"/>
      <c r="CNR26" s="11"/>
      <c r="CNS26" s="11"/>
      <c r="CNT26" s="11"/>
      <c r="CNU26" s="11"/>
      <c r="CNV26" s="11"/>
      <c r="CNW26" s="11"/>
      <c r="CNX26" s="11"/>
      <c r="CNY26" s="11"/>
      <c r="CNZ26" s="11"/>
      <c r="COA26" s="11"/>
      <c r="COB26" s="11"/>
      <c r="COC26" s="11"/>
      <c r="COD26" s="11"/>
      <c r="COE26" s="11"/>
      <c r="COF26" s="11"/>
      <c r="COG26" s="11"/>
      <c r="COH26" s="11"/>
      <c r="COI26" s="11"/>
      <c r="COJ26" s="11"/>
      <c r="COK26" s="11"/>
      <c r="COL26" s="11"/>
      <c r="COM26" s="11"/>
      <c r="CON26" s="11"/>
      <c r="COO26" s="11"/>
      <c r="COP26" s="11"/>
      <c r="COQ26" s="11"/>
      <c r="COR26" s="11"/>
      <c r="COS26" s="11"/>
      <c r="COT26" s="11"/>
      <c r="COU26" s="11"/>
      <c r="COV26" s="11"/>
      <c r="COW26" s="11"/>
      <c r="COX26" s="11"/>
      <c r="COY26" s="11"/>
      <c r="COZ26" s="11"/>
      <c r="CPA26" s="11"/>
      <c r="CPB26" s="11"/>
      <c r="CPC26" s="11"/>
      <c r="CPD26" s="11"/>
      <c r="CPE26" s="11"/>
      <c r="CPF26" s="11"/>
      <c r="CPG26" s="11"/>
      <c r="CPH26" s="11"/>
      <c r="CPI26" s="11"/>
      <c r="CPJ26" s="11"/>
      <c r="CPK26" s="11"/>
      <c r="CPL26" s="11"/>
      <c r="CPM26" s="11"/>
      <c r="CPN26" s="11"/>
      <c r="CPO26" s="11"/>
      <c r="CPP26" s="11"/>
      <c r="CPQ26" s="11"/>
      <c r="CPR26" s="11"/>
      <c r="CPS26" s="11"/>
      <c r="CPT26" s="11"/>
      <c r="CPU26" s="11"/>
      <c r="CPV26" s="11"/>
      <c r="CPW26" s="11"/>
      <c r="CPX26" s="11"/>
      <c r="CPY26" s="11"/>
      <c r="CPZ26" s="11"/>
      <c r="CQA26" s="11"/>
      <c r="CQB26" s="11"/>
      <c r="CQC26" s="11"/>
      <c r="CQD26" s="11"/>
      <c r="CQE26" s="11"/>
      <c r="CQF26" s="11"/>
      <c r="CQG26" s="11"/>
      <c r="CQH26" s="11"/>
      <c r="CQI26" s="11"/>
      <c r="CQJ26" s="11"/>
      <c r="CQK26" s="11"/>
      <c r="CQL26" s="11"/>
      <c r="CQM26" s="11"/>
      <c r="CQN26" s="11"/>
      <c r="CQO26" s="11"/>
      <c r="CQP26" s="11"/>
      <c r="CQQ26" s="11"/>
      <c r="CQR26" s="11"/>
      <c r="CQS26" s="11"/>
      <c r="CQT26" s="11"/>
      <c r="CQU26" s="11"/>
      <c r="CQV26" s="11"/>
      <c r="CQW26" s="11"/>
      <c r="CQX26" s="11"/>
      <c r="CQY26" s="11"/>
      <c r="CQZ26" s="11"/>
      <c r="CRA26" s="11"/>
      <c r="CRB26" s="11"/>
      <c r="CRC26" s="11"/>
      <c r="CRD26" s="11"/>
      <c r="CRE26" s="11"/>
      <c r="CRF26" s="11"/>
      <c r="CRG26" s="11"/>
      <c r="CRH26" s="11"/>
      <c r="CRI26" s="11"/>
      <c r="CRJ26" s="11"/>
      <c r="CRK26" s="11"/>
      <c r="CRL26" s="11"/>
      <c r="CRM26" s="11"/>
      <c r="CRN26" s="11"/>
      <c r="CRO26" s="11"/>
      <c r="CRP26" s="11"/>
      <c r="CRQ26" s="11"/>
      <c r="CRR26" s="11"/>
      <c r="CRS26" s="11"/>
      <c r="CRT26" s="11"/>
      <c r="CRU26" s="11"/>
      <c r="CRV26" s="11"/>
      <c r="CRW26" s="11"/>
      <c r="CRX26" s="11"/>
      <c r="CRY26" s="11"/>
      <c r="CRZ26" s="11"/>
      <c r="CSA26" s="11"/>
      <c r="CSB26" s="11"/>
      <c r="CSC26" s="11"/>
      <c r="CSD26" s="11"/>
      <c r="CSE26" s="11"/>
      <c r="CSF26" s="11"/>
      <c r="CSG26" s="11"/>
      <c r="CSH26" s="11"/>
      <c r="CSI26" s="11"/>
      <c r="CSJ26" s="11"/>
      <c r="CSK26" s="11"/>
      <c r="CSL26" s="11"/>
      <c r="CSM26" s="11"/>
      <c r="CSN26" s="11"/>
      <c r="CSO26" s="11"/>
      <c r="CSP26" s="11"/>
      <c r="CSQ26" s="11"/>
      <c r="CSR26" s="11"/>
      <c r="CSS26" s="11"/>
      <c r="CST26" s="11"/>
      <c r="CSU26" s="11"/>
      <c r="CSV26" s="11"/>
      <c r="CSW26" s="11"/>
      <c r="CSX26" s="11"/>
      <c r="CSY26" s="11"/>
      <c r="CSZ26" s="11"/>
      <c r="CTA26" s="11"/>
      <c r="CTB26" s="11"/>
      <c r="CTC26" s="11"/>
      <c r="CTD26" s="11"/>
      <c r="CTE26" s="11"/>
      <c r="CTF26" s="11"/>
      <c r="CTG26" s="11"/>
      <c r="CTH26" s="11"/>
      <c r="CTI26" s="11"/>
      <c r="CTJ26" s="11"/>
      <c r="CTK26" s="11"/>
    </row>
    <row r="27" s="4" customFormat="1" ht="50" hidden="1" customHeight="1" spans="1:1024 1025:2562">
      <c r="A27" s="30">
        <v>18</v>
      </c>
      <c r="B27" s="30" t="s">
        <v>131</v>
      </c>
      <c r="C27" s="30" t="s">
        <v>22</v>
      </c>
      <c r="D27" s="30" t="s">
        <v>132</v>
      </c>
      <c r="E27" s="35">
        <v>60000</v>
      </c>
      <c r="F27" s="35">
        <v>1350</v>
      </c>
      <c r="G27" s="35">
        <v>5000</v>
      </c>
      <c r="H27" s="35"/>
      <c r="I27" s="35"/>
      <c r="J27" s="35"/>
      <c r="K27" s="28">
        <f t="shared" si="0"/>
        <v>0</v>
      </c>
      <c r="L27" s="35"/>
      <c r="M27" s="35"/>
      <c r="N27" s="30" t="s">
        <v>126</v>
      </c>
      <c r="O27" s="30" t="s">
        <v>133</v>
      </c>
      <c r="P27" s="30" t="s">
        <v>27</v>
      </c>
      <c r="Q27" s="30"/>
      <c r="R27" s="5"/>
    </row>
    <row r="28" s="4" customFormat="1" ht="48" hidden="1" customHeight="1" spans="1:1024 1025:2562">
      <c r="A28" s="37">
        <v>19</v>
      </c>
      <c r="B28" s="30" t="s">
        <v>134</v>
      </c>
      <c r="C28" s="30" t="s">
        <v>22</v>
      </c>
      <c r="D28" s="30" t="s">
        <v>135</v>
      </c>
      <c r="E28" s="35">
        <v>55000</v>
      </c>
      <c r="F28" s="35">
        <v>1300</v>
      </c>
      <c r="G28" s="35">
        <v>10000</v>
      </c>
      <c r="H28" s="35">
        <v>3539</v>
      </c>
      <c r="I28" s="35">
        <v>1080</v>
      </c>
      <c r="J28" s="35">
        <v>4619</v>
      </c>
      <c r="K28" s="28">
        <f t="shared" si="0"/>
        <v>0.4619</v>
      </c>
      <c r="L28" s="35" t="s">
        <v>136</v>
      </c>
      <c r="M28" s="35" t="s">
        <v>136</v>
      </c>
      <c r="N28" s="30" t="s">
        <v>126</v>
      </c>
      <c r="O28" s="30" t="s">
        <v>137</v>
      </c>
      <c r="P28" s="30" t="s">
        <v>27</v>
      </c>
      <c r="Q28" s="30"/>
      <c r="R28" s="5"/>
    </row>
    <row r="29" s="4" customFormat="1" ht="53" hidden="1" customHeight="1" spans="1:1024 1025:2562">
      <c r="A29" s="30">
        <v>20</v>
      </c>
      <c r="B29" s="30" t="s">
        <v>138</v>
      </c>
      <c r="C29" s="30" t="s">
        <v>22</v>
      </c>
      <c r="D29" s="30" t="s">
        <v>139</v>
      </c>
      <c r="E29" s="35">
        <v>52000</v>
      </c>
      <c r="F29" s="35">
        <v>1200</v>
      </c>
      <c r="G29" s="35">
        <v>5000</v>
      </c>
      <c r="H29" s="35">
        <v>1420</v>
      </c>
      <c r="I29" s="35"/>
      <c r="J29" s="35"/>
      <c r="K29" s="28">
        <f t="shared" si="0"/>
        <v>0</v>
      </c>
      <c r="L29" s="35" t="s">
        <v>140</v>
      </c>
      <c r="M29" s="35"/>
      <c r="N29" s="30" t="s">
        <v>141</v>
      </c>
      <c r="O29" s="30" t="s">
        <v>142</v>
      </c>
      <c r="P29" s="30" t="s">
        <v>27</v>
      </c>
      <c r="Q29" s="30"/>
      <c r="R29" s="5"/>
    </row>
    <row r="30" s="4" customFormat="1" ht="70" hidden="1" customHeight="1" spans="1:1024 1025:2562">
      <c r="A30" s="37">
        <v>21</v>
      </c>
      <c r="B30" s="30" t="s">
        <v>143</v>
      </c>
      <c r="C30" s="30" t="s">
        <v>22</v>
      </c>
      <c r="D30" s="30" t="s">
        <v>144</v>
      </c>
      <c r="E30" s="35">
        <v>50000</v>
      </c>
      <c r="F30" s="35">
        <v>2000</v>
      </c>
      <c r="G30" s="35">
        <v>10000</v>
      </c>
      <c r="H30" s="35">
        <v>4178</v>
      </c>
      <c r="I30" s="35">
        <v>1005</v>
      </c>
      <c r="J30" s="35">
        <v>5183</v>
      </c>
      <c r="K30" s="28">
        <f t="shared" si="0"/>
        <v>0.5183</v>
      </c>
      <c r="L30" s="35" t="s">
        <v>145</v>
      </c>
      <c r="M30" s="35" t="s">
        <v>145</v>
      </c>
      <c r="N30" s="30" t="s">
        <v>141</v>
      </c>
      <c r="O30" s="30" t="s">
        <v>146</v>
      </c>
      <c r="P30" s="30" t="s">
        <v>27</v>
      </c>
      <c r="Q30" s="30"/>
      <c r="R30" s="5"/>
    </row>
    <row r="31" s="4" customFormat="1" ht="35" hidden="1" customHeight="1" spans="1:1024 1025:2562">
      <c r="A31" s="30">
        <v>22</v>
      </c>
      <c r="B31" s="30" t="s">
        <v>147</v>
      </c>
      <c r="C31" s="30" t="s">
        <v>82</v>
      </c>
      <c r="D31" s="30" t="s">
        <v>148</v>
      </c>
      <c r="E31" s="35">
        <v>26000</v>
      </c>
      <c r="F31" s="35">
        <v>3000</v>
      </c>
      <c r="G31" s="35">
        <v>23000</v>
      </c>
      <c r="H31" s="35"/>
      <c r="I31" s="35"/>
      <c r="J31" s="35"/>
      <c r="K31" s="28">
        <f t="shared" si="0"/>
        <v>0</v>
      </c>
      <c r="L31" s="35"/>
      <c r="M31" s="35"/>
      <c r="N31" s="30" t="s">
        <v>64</v>
      </c>
      <c r="O31" s="30" t="s">
        <v>149</v>
      </c>
      <c r="P31" s="30" t="s">
        <v>27</v>
      </c>
      <c r="Q31" s="30"/>
      <c r="R31" s="5"/>
    </row>
    <row r="32" s="4" customFormat="1" ht="74" hidden="1" customHeight="1" spans="1:1024 1025:2562">
      <c r="A32" s="37">
        <v>23</v>
      </c>
      <c r="B32" s="30" t="s">
        <v>150</v>
      </c>
      <c r="C32" s="30" t="s">
        <v>22</v>
      </c>
      <c r="D32" s="30" t="s">
        <v>151</v>
      </c>
      <c r="E32" s="35">
        <v>22000</v>
      </c>
      <c r="F32" s="35">
        <v>300</v>
      </c>
      <c r="G32" s="35">
        <v>10000</v>
      </c>
      <c r="H32" s="35">
        <v>4551</v>
      </c>
      <c r="I32" s="35">
        <v>1210</v>
      </c>
      <c r="J32" s="35">
        <v>5761</v>
      </c>
      <c r="K32" s="28">
        <f t="shared" si="0"/>
        <v>0.5761</v>
      </c>
      <c r="L32" s="35" t="s">
        <v>152</v>
      </c>
      <c r="M32" s="35" t="s">
        <v>152</v>
      </c>
      <c r="N32" s="30" t="s">
        <v>141</v>
      </c>
      <c r="O32" s="30" t="s">
        <v>153</v>
      </c>
      <c r="P32" s="30" t="s">
        <v>27</v>
      </c>
      <c r="Q32" s="30"/>
      <c r="R32" s="5"/>
    </row>
    <row r="33" s="1" customFormat="1" ht="60" hidden="1" customHeight="1" spans="1:2562 16308:16384">
      <c r="A33" s="43">
        <v>24</v>
      </c>
      <c r="B33" s="34" t="s">
        <v>154</v>
      </c>
      <c r="C33" s="31" t="s">
        <v>22</v>
      </c>
      <c r="D33" s="31" t="s">
        <v>155</v>
      </c>
      <c r="E33" s="35">
        <v>11200</v>
      </c>
      <c r="F33" s="35">
        <v>200</v>
      </c>
      <c r="G33" s="35">
        <v>2800</v>
      </c>
      <c r="H33" s="35">
        <v>1185</v>
      </c>
      <c r="I33" s="35">
        <v>260</v>
      </c>
      <c r="J33" s="35">
        <v>1445</v>
      </c>
      <c r="K33" s="28">
        <f t="shared" si="0"/>
        <v>0.516071428571429</v>
      </c>
      <c r="L33" s="35" t="s">
        <v>156</v>
      </c>
      <c r="M33" s="35" t="s">
        <v>156</v>
      </c>
      <c r="N33" s="31" t="s">
        <v>126</v>
      </c>
      <c r="O33" s="31" t="s">
        <v>157</v>
      </c>
      <c r="P33" s="31" t="s">
        <v>27</v>
      </c>
      <c r="Q33" s="31"/>
      <c r="R33" s="11"/>
    </row>
    <row r="34" s="6" customFormat="1" ht="124" customHeight="1" spans="1:2562 16308:16384">
      <c r="A34" s="44">
        <v>25</v>
      </c>
      <c r="B34" s="44" t="s">
        <v>158</v>
      </c>
      <c r="C34" s="45" t="s">
        <v>22</v>
      </c>
      <c r="D34" s="45" t="s">
        <v>159</v>
      </c>
      <c r="E34" s="46">
        <v>19320.33</v>
      </c>
      <c r="F34" s="46">
        <f>4483.21-2266.5</f>
        <v>2216.71</v>
      </c>
      <c r="G34" s="46">
        <v>7500</v>
      </c>
      <c r="H34" s="47"/>
      <c r="I34" s="47"/>
      <c r="J34" s="46"/>
      <c r="K34" s="48">
        <f>(J34+F34)/E34</f>
        <v>0.114734582690875</v>
      </c>
      <c r="L34" s="47" t="s">
        <v>160</v>
      </c>
      <c r="M34" s="47" t="s">
        <v>161</v>
      </c>
      <c r="N34" s="45" t="s">
        <v>162</v>
      </c>
      <c r="O34" s="45" t="s">
        <v>163</v>
      </c>
      <c r="P34" s="45" t="s">
        <v>27</v>
      </c>
      <c r="Q34" s="45"/>
      <c r="R34" s="49"/>
      <c r="XCF34" s="50"/>
      <c r="XCG34" s="50"/>
      <c r="XCH34" s="50"/>
      <c r="XCI34" s="50"/>
      <c r="XCJ34" s="50"/>
      <c r="XCK34" s="50"/>
      <c r="XCL34" s="50"/>
      <c r="XCM34" s="50"/>
      <c r="XCN34" s="50"/>
      <c r="XCO34" s="50"/>
      <c r="XCP34" s="50"/>
      <c r="XCQ34" s="50"/>
      <c r="XCR34" s="50"/>
      <c r="XCS34" s="50"/>
      <c r="XCT34" s="50"/>
      <c r="XCU34" s="50"/>
      <c r="XCV34" s="50"/>
      <c r="XCW34" s="50"/>
      <c r="XCX34" s="50"/>
      <c r="XCY34" s="50"/>
      <c r="XCZ34" s="50"/>
      <c r="XDA34" s="50"/>
      <c r="XDB34" s="50"/>
      <c r="XDC34" s="50"/>
      <c r="XDD34" s="50"/>
      <c r="XDE34" s="50"/>
      <c r="XDF34" s="50"/>
      <c r="XDG34" s="50"/>
      <c r="XDH34" s="50"/>
      <c r="XDI34" s="50"/>
      <c r="XDJ34" s="50"/>
      <c r="XDK34" s="50"/>
      <c r="XDL34" s="50"/>
      <c r="XDM34" s="50"/>
      <c r="XDN34" s="50"/>
      <c r="XDO34" s="50"/>
      <c r="XDP34" s="50"/>
      <c r="XDQ34" s="50"/>
      <c r="XDR34" s="50"/>
      <c r="XDS34" s="50"/>
      <c r="XDT34" s="50"/>
      <c r="XDU34" s="50"/>
      <c r="XDV34" s="50"/>
      <c r="XDW34" s="50"/>
      <c r="XDX34" s="50"/>
      <c r="XDY34" s="50"/>
      <c r="XDZ34" s="50"/>
      <c r="XEA34" s="50"/>
      <c r="XEB34" s="50"/>
      <c r="XEC34" s="50"/>
      <c r="XED34" s="50"/>
      <c r="XEE34" s="50"/>
      <c r="XEF34" s="50"/>
      <c r="XEG34" s="50"/>
      <c r="XEH34" s="50"/>
      <c r="XEI34" s="50"/>
      <c r="XEJ34" s="50"/>
      <c r="XEK34" s="50"/>
      <c r="XEL34" s="50"/>
      <c r="XEM34" s="50"/>
      <c r="XEN34" s="50"/>
      <c r="XEO34" s="50"/>
      <c r="XEP34" s="50"/>
      <c r="XEQ34" s="50"/>
      <c r="XER34" s="50"/>
      <c r="XES34" s="51"/>
      <c r="XET34" s="51"/>
      <c r="XEU34" s="51"/>
      <c r="XEV34" s="51"/>
      <c r="XEW34" s="51"/>
      <c r="XEX34" s="51"/>
      <c r="XEY34" s="51"/>
      <c r="XEZ34" s="51"/>
      <c r="XFA34" s="51"/>
      <c r="XFB34" s="51"/>
      <c r="XFC34" s="51"/>
      <c r="XFD34" s="51"/>
    </row>
    <row r="35" s="4" customFormat="1" ht="70" hidden="1" customHeight="1" spans="1:2562 16308:16384">
      <c r="A35" s="30">
        <v>26</v>
      </c>
      <c r="B35" s="30" t="s">
        <v>164</v>
      </c>
      <c r="C35" s="30" t="s">
        <v>22</v>
      </c>
      <c r="D35" s="30" t="s">
        <v>165</v>
      </c>
      <c r="E35" s="35">
        <v>29533</v>
      </c>
      <c r="F35" s="35">
        <v>1000</v>
      </c>
      <c r="G35" s="35">
        <v>6000</v>
      </c>
      <c r="H35" s="35">
        <v>2300</v>
      </c>
      <c r="I35" s="35"/>
      <c r="J35" s="35"/>
      <c r="K35" s="28">
        <f t="shared" si="0"/>
        <v>0</v>
      </c>
      <c r="L35" s="35" t="s">
        <v>166</v>
      </c>
      <c r="M35" s="35"/>
      <c r="N35" s="30" t="s">
        <v>167</v>
      </c>
      <c r="O35" s="30" t="s">
        <v>168</v>
      </c>
      <c r="P35" s="30" t="s">
        <v>27</v>
      </c>
      <c r="Q35" s="30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</row>
    <row r="36" s="4" customFormat="1" ht="55" hidden="1" customHeight="1" spans="1:2562 16308:16384">
      <c r="A36" s="30">
        <v>28</v>
      </c>
      <c r="B36" s="30" t="s">
        <v>169</v>
      </c>
      <c r="C36" s="30" t="s">
        <v>170</v>
      </c>
      <c r="D36" s="30" t="s">
        <v>171</v>
      </c>
      <c r="E36" s="35">
        <v>16000</v>
      </c>
      <c r="F36" s="35">
        <v>11000</v>
      </c>
      <c r="G36" s="35">
        <v>5000</v>
      </c>
      <c r="H36" s="35">
        <v>1270</v>
      </c>
      <c r="I36" s="35"/>
      <c r="J36" s="35"/>
      <c r="K36" s="28">
        <f>J36/G36</f>
        <v>0</v>
      </c>
      <c r="L36" s="35" t="s">
        <v>172</v>
      </c>
      <c r="M36" s="35"/>
      <c r="N36" s="30" t="s">
        <v>173</v>
      </c>
      <c r="O36" s="30" t="s">
        <v>174</v>
      </c>
      <c r="P36" s="30" t="s">
        <v>27</v>
      </c>
      <c r="Q36" s="30"/>
      <c r="R36" s="5"/>
    </row>
    <row r="37" s="1" customFormat="1" ht="70" hidden="1" customHeight="1" spans="1:2562 16308:16384">
      <c r="A37" s="37">
        <v>29</v>
      </c>
      <c r="B37" s="30" t="s">
        <v>175</v>
      </c>
      <c r="C37" s="31" t="s">
        <v>22</v>
      </c>
      <c r="D37" s="31" t="s">
        <v>176</v>
      </c>
      <c r="E37" s="32">
        <v>52000</v>
      </c>
      <c r="F37" s="32">
        <v>500</v>
      </c>
      <c r="G37" s="32">
        <v>5000</v>
      </c>
      <c r="H37" s="32">
        <v>2120</v>
      </c>
      <c r="I37" s="32">
        <v>510</v>
      </c>
      <c r="J37" s="32">
        <v>2630</v>
      </c>
      <c r="K37" s="28">
        <f>J37/G37</f>
        <v>0.526</v>
      </c>
      <c r="L37" s="32" t="s">
        <v>177</v>
      </c>
      <c r="M37" s="32" t="s">
        <v>177</v>
      </c>
      <c r="N37" s="31" t="s">
        <v>178</v>
      </c>
      <c r="O37" s="31" t="s">
        <v>179</v>
      </c>
      <c r="P37" s="31" t="s">
        <v>27</v>
      </c>
      <c r="Q37" s="31"/>
      <c r="R37" s="11"/>
    </row>
    <row r="38" s="4" customFormat="1" ht="56" hidden="1" customHeight="1" spans="1:2562 16308:16384">
      <c r="A38" s="30">
        <v>30</v>
      </c>
      <c r="B38" s="30" t="s">
        <v>180</v>
      </c>
      <c r="C38" s="30" t="s">
        <v>22</v>
      </c>
      <c r="D38" s="30" t="s">
        <v>181</v>
      </c>
      <c r="E38" s="35">
        <v>15000</v>
      </c>
      <c r="F38" s="35">
        <v>200</v>
      </c>
      <c r="G38" s="35">
        <v>3000</v>
      </c>
      <c r="H38" s="35"/>
      <c r="I38" s="35"/>
      <c r="J38" s="35"/>
      <c r="K38" s="28">
        <f>J38/G38</f>
        <v>0</v>
      </c>
      <c r="L38" s="35"/>
      <c r="M38" s="35"/>
      <c r="N38" s="30" t="s">
        <v>178</v>
      </c>
      <c r="O38" s="30" t="s">
        <v>182</v>
      </c>
      <c r="P38" s="30" t="s">
        <v>27</v>
      </c>
      <c r="Q38" s="30"/>
      <c r="R38" s="5"/>
    </row>
    <row r="39" s="4" customFormat="1" ht="53" hidden="1" customHeight="1" spans="1:2562 16308:16384">
      <c r="A39" s="30">
        <v>31</v>
      </c>
      <c r="B39" s="30" t="s">
        <v>183</v>
      </c>
      <c r="C39" s="30" t="s">
        <v>124</v>
      </c>
      <c r="D39" s="30" t="s">
        <v>184</v>
      </c>
      <c r="E39" s="35">
        <v>150000</v>
      </c>
      <c r="F39" s="35">
        <v>64165</v>
      </c>
      <c r="G39" s="35">
        <v>29400</v>
      </c>
      <c r="H39" s="35">
        <v>9460</v>
      </c>
      <c r="I39" s="35"/>
      <c r="J39" s="35"/>
      <c r="K39" s="28">
        <f>J39/G39</f>
        <v>0</v>
      </c>
      <c r="L39" s="35" t="s">
        <v>185</v>
      </c>
      <c r="M39" s="35"/>
      <c r="N39" s="30" t="s">
        <v>186</v>
      </c>
      <c r="O39" s="30" t="s">
        <v>187</v>
      </c>
      <c r="P39" s="30" t="s">
        <v>27</v>
      </c>
      <c r="Q39" s="30"/>
      <c r="R39" s="5"/>
    </row>
    <row r="40" s="4" customFormat="1" ht="57" hidden="1" customHeight="1" spans="1:2562 16308:16384">
      <c r="A40" s="30">
        <v>32</v>
      </c>
      <c r="B40" s="30" t="s">
        <v>188</v>
      </c>
      <c r="C40" s="30" t="s">
        <v>67</v>
      </c>
      <c r="D40" s="30" t="s">
        <v>189</v>
      </c>
      <c r="E40" s="35">
        <v>100000</v>
      </c>
      <c r="F40" s="35">
        <v>59135</v>
      </c>
      <c r="G40" s="35">
        <v>27000</v>
      </c>
      <c r="H40" s="35">
        <v>8970</v>
      </c>
      <c r="I40" s="35"/>
      <c r="J40" s="35"/>
      <c r="K40" s="28">
        <f>J40/G40</f>
        <v>0</v>
      </c>
      <c r="L40" s="35" t="s">
        <v>190</v>
      </c>
      <c r="M40" s="35"/>
      <c r="N40" s="30" t="s">
        <v>191</v>
      </c>
      <c r="O40" s="30" t="s">
        <v>192</v>
      </c>
      <c r="P40" s="30" t="s">
        <v>27</v>
      </c>
      <c r="Q40" s="30"/>
      <c r="R40" s="5"/>
    </row>
    <row r="41" s="4" customFormat="1" ht="95" hidden="1" customHeight="1" spans="1:2562 16308:16384">
      <c r="A41" s="37">
        <v>33</v>
      </c>
      <c r="B41" s="30" t="s">
        <v>193</v>
      </c>
      <c r="C41" s="30" t="s">
        <v>76</v>
      </c>
      <c r="D41" s="30" t="s">
        <v>194</v>
      </c>
      <c r="E41" s="35">
        <v>350000</v>
      </c>
      <c r="F41" s="35">
        <v>60000</v>
      </c>
      <c r="G41" s="35">
        <v>40000</v>
      </c>
      <c r="H41" s="35">
        <v>14963</v>
      </c>
      <c r="I41" s="35">
        <v>3890</v>
      </c>
      <c r="J41" s="35">
        <v>18853</v>
      </c>
      <c r="K41" s="28">
        <f>J41/G41</f>
        <v>0.471325</v>
      </c>
      <c r="L41" s="35" t="s">
        <v>195</v>
      </c>
      <c r="M41" s="35" t="s">
        <v>195</v>
      </c>
      <c r="N41" s="30" t="s">
        <v>196</v>
      </c>
      <c r="O41" s="30" t="s">
        <v>197</v>
      </c>
      <c r="P41" s="30" t="s">
        <v>27</v>
      </c>
      <c r="Q41" s="42" t="s">
        <v>198</v>
      </c>
      <c r="R41" s="5" t="s">
        <v>199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</row>
    <row r="42" s="4" customFormat="1" ht="68" hidden="1" customHeight="1" spans="1:2562 16308:16384">
      <c r="A42" s="30">
        <v>34</v>
      </c>
      <c r="B42" s="30" t="s">
        <v>200</v>
      </c>
      <c r="C42" s="30" t="s">
        <v>201</v>
      </c>
      <c r="D42" s="30" t="s">
        <v>202</v>
      </c>
      <c r="E42" s="35">
        <v>350000</v>
      </c>
      <c r="F42" s="35">
        <v>170000</v>
      </c>
      <c r="G42" s="35">
        <v>30000</v>
      </c>
      <c r="H42" s="35">
        <v>6100</v>
      </c>
      <c r="I42" s="35"/>
      <c r="J42" s="35"/>
      <c r="K42" s="28">
        <f>J42/G42</f>
        <v>0</v>
      </c>
      <c r="L42" s="35" t="s">
        <v>203</v>
      </c>
      <c r="M42" s="35"/>
      <c r="N42" s="30" t="s">
        <v>204</v>
      </c>
      <c r="O42" s="30" t="s">
        <v>205</v>
      </c>
      <c r="P42" s="30" t="s">
        <v>27</v>
      </c>
      <c r="Q42" s="30"/>
      <c r="R42" s="5"/>
    </row>
    <row r="43" s="4" customFormat="1" ht="64" hidden="1" customHeight="1" spans="1:2562 16308:16384">
      <c r="A43" s="30">
        <v>35</v>
      </c>
      <c r="B43" s="30" t="s">
        <v>206</v>
      </c>
      <c r="C43" s="30" t="s">
        <v>67</v>
      </c>
      <c r="D43" s="30" t="s">
        <v>207</v>
      </c>
      <c r="E43" s="35">
        <v>55000</v>
      </c>
      <c r="F43" s="35">
        <v>28579</v>
      </c>
      <c r="G43" s="35">
        <v>26421</v>
      </c>
      <c r="H43" s="35">
        <v>8148</v>
      </c>
      <c r="I43" s="35"/>
      <c r="J43" s="35"/>
      <c r="K43" s="28">
        <f>J43/G43</f>
        <v>0</v>
      </c>
      <c r="L43" s="35" t="s">
        <v>208</v>
      </c>
      <c r="M43" s="35"/>
      <c r="N43" s="30" t="s">
        <v>209</v>
      </c>
      <c r="O43" s="30" t="s">
        <v>210</v>
      </c>
      <c r="P43" s="30" t="s">
        <v>27</v>
      </c>
      <c r="Q43" s="30"/>
      <c r="R43" s="5"/>
    </row>
    <row r="44" s="4" customFormat="1" ht="87" hidden="1" customHeight="1" spans="1:2562 16308:16384">
      <c r="A44" s="30">
        <v>36</v>
      </c>
      <c r="B44" s="30" t="s">
        <v>211</v>
      </c>
      <c r="C44" s="30" t="s">
        <v>124</v>
      </c>
      <c r="D44" s="30" t="s">
        <v>212</v>
      </c>
      <c r="E44" s="35">
        <v>37071</v>
      </c>
      <c r="F44" s="35">
        <v>29995</v>
      </c>
      <c r="G44" s="35">
        <v>3000</v>
      </c>
      <c r="H44" s="35">
        <v>40</v>
      </c>
      <c r="I44" s="35"/>
      <c r="J44" s="35"/>
      <c r="K44" s="28">
        <f>J44/G44</f>
        <v>0</v>
      </c>
      <c r="L44" s="35" t="s">
        <v>213</v>
      </c>
      <c r="M44" s="35"/>
      <c r="N44" s="30" t="s">
        <v>214</v>
      </c>
      <c r="O44" s="30" t="s">
        <v>35</v>
      </c>
      <c r="P44" s="30" t="s">
        <v>27</v>
      </c>
      <c r="Q44" s="30"/>
      <c r="R44" s="5"/>
    </row>
    <row r="45" s="1" customFormat="1" ht="104" hidden="1" customHeight="1" spans="1:2562 16308:16384">
      <c r="A45" s="34">
        <v>37</v>
      </c>
      <c r="B45" s="30" t="s">
        <v>215</v>
      </c>
      <c r="C45" s="31" t="s">
        <v>82</v>
      </c>
      <c r="D45" s="52" t="s">
        <v>216</v>
      </c>
      <c r="E45" s="32">
        <v>10000</v>
      </c>
      <c r="F45" s="32">
        <v>2000</v>
      </c>
      <c r="G45" s="32">
        <v>8000</v>
      </c>
      <c r="H45" s="32">
        <v>1900</v>
      </c>
      <c r="I45" s="32"/>
      <c r="J45" s="32"/>
      <c r="K45" s="28">
        <f>J45/G45</f>
        <v>0</v>
      </c>
      <c r="L45" s="32" t="s">
        <v>217</v>
      </c>
      <c r="M45" s="32"/>
      <c r="N45" s="31" t="s">
        <v>64</v>
      </c>
      <c r="O45" s="31" t="s">
        <v>218</v>
      </c>
      <c r="P45" s="31" t="s">
        <v>27</v>
      </c>
      <c r="Q45" s="31"/>
      <c r="R45" s="11"/>
    </row>
    <row r="46" s="7" customFormat="1" ht="35" hidden="1" customHeight="1" spans="1:2562 16308:16384">
      <c r="A46" s="23"/>
      <c r="B46" s="23" t="s">
        <v>219</v>
      </c>
      <c r="C46" s="23"/>
      <c r="D46" s="23"/>
      <c r="E46" s="21">
        <f>SUM(E47:E52)</f>
        <v>667000</v>
      </c>
      <c r="F46" s="21"/>
      <c r="G46" s="21">
        <f>SUM(G47:G52)</f>
        <v>36000</v>
      </c>
      <c r="H46" s="21">
        <f>SUM(H47:H52)</f>
        <v>5420</v>
      </c>
      <c r="I46" s="21"/>
      <c r="J46" s="21"/>
      <c r="K46" s="28">
        <f>J46/G46</f>
        <v>0</v>
      </c>
      <c r="L46" s="21"/>
      <c r="M46" s="21"/>
      <c r="N46" s="23"/>
      <c r="O46" s="23"/>
      <c r="P46" s="23"/>
      <c r="Q46" s="23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29"/>
      <c r="QA46" s="29"/>
      <c r="QB46" s="29"/>
      <c r="QC46" s="29"/>
      <c r="QD46" s="29"/>
      <c r="QE46" s="29"/>
      <c r="QF46" s="29"/>
      <c r="QG46" s="29"/>
      <c r="QH46" s="29"/>
      <c r="QI46" s="29"/>
      <c r="QJ46" s="29"/>
      <c r="QK46" s="29"/>
      <c r="QL46" s="29"/>
      <c r="QM46" s="29"/>
      <c r="QN46" s="29"/>
      <c r="QO46" s="29"/>
      <c r="QP46" s="29"/>
      <c r="QQ46" s="29"/>
      <c r="QR46" s="29"/>
      <c r="QS46" s="29"/>
      <c r="QT46" s="29"/>
      <c r="QU46" s="29"/>
      <c r="QV46" s="29"/>
      <c r="QW46" s="29"/>
      <c r="QX46" s="29"/>
      <c r="QY46" s="29"/>
      <c r="QZ46" s="29"/>
      <c r="RA46" s="29"/>
      <c r="RB46" s="29"/>
      <c r="RC46" s="29"/>
      <c r="RD46" s="29"/>
      <c r="RE46" s="29"/>
      <c r="RF46" s="29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  <c r="SM46" s="29"/>
      <c r="SN46" s="29"/>
      <c r="SO46" s="29"/>
      <c r="SP46" s="29"/>
      <c r="SQ46" s="29"/>
      <c r="SR46" s="29"/>
      <c r="SS46" s="29"/>
      <c r="ST46" s="29"/>
      <c r="SU46" s="29"/>
      <c r="SV46" s="29"/>
      <c r="SW46" s="29"/>
      <c r="SX46" s="29"/>
      <c r="SY46" s="29"/>
      <c r="SZ46" s="29"/>
      <c r="TA46" s="29"/>
      <c r="TB46" s="29"/>
      <c r="TC46" s="29"/>
      <c r="TD46" s="29"/>
      <c r="TE46" s="29"/>
      <c r="TF46" s="29"/>
      <c r="TG46" s="29"/>
      <c r="TH46" s="29"/>
      <c r="TI46" s="29"/>
      <c r="TJ46" s="29"/>
      <c r="TK46" s="29"/>
      <c r="TL46" s="29"/>
      <c r="TM46" s="29"/>
      <c r="TN46" s="29"/>
      <c r="TO46" s="29"/>
      <c r="TP46" s="29"/>
      <c r="TQ46" s="29"/>
      <c r="TR46" s="29"/>
      <c r="TS46" s="29"/>
      <c r="TT46" s="29"/>
      <c r="TU46" s="29"/>
      <c r="TV46" s="29"/>
      <c r="TW46" s="29"/>
      <c r="TX46" s="29"/>
      <c r="TY46" s="29"/>
      <c r="TZ46" s="29"/>
      <c r="UA46" s="29"/>
      <c r="UB46" s="29"/>
      <c r="UC46" s="29"/>
      <c r="UD46" s="29"/>
      <c r="UE46" s="29"/>
      <c r="UF46" s="29"/>
      <c r="UG46" s="29"/>
      <c r="UH46" s="29"/>
      <c r="UI46" s="29"/>
      <c r="UJ46" s="29"/>
      <c r="UK46" s="29"/>
      <c r="UL46" s="29"/>
      <c r="UM46" s="29"/>
      <c r="UN46" s="29"/>
      <c r="UO46" s="29"/>
      <c r="UP46" s="29"/>
      <c r="UQ46" s="29"/>
      <c r="UR46" s="29"/>
      <c r="US46" s="29"/>
      <c r="UT46" s="29"/>
      <c r="UU46" s="29"/>
      <c r="UV46" s="29"/>
      <c r="UW46" s="29"/>
      <c r="UX46" s="29"/>
      <c r="UY46" s="29"/>
      <c r="UZ46" s="29"/>
      <c r="VA46" s="29"/>
      <c r="VB46" s="29"/>
      <c r="VC46" s="29"/>
      <c r="VD46" s="29"/>
      <c r="VE46" s="29"/>
      <c r="VF46" s="29"/>
      <c r="VG46" s="29"/>
      <c r="VH46" s="29"/>
      <c r="VI46" s="29"/>
      <c r="VJ46" s="29"/>
      <c r="VK46" s="29"/>
      <c r="VL46" s="29"/>
      <c r="VM46" s="29"/>
      <c r="VN46" s="29"/>
      <c r="VO46" s="29"/>
      <c r="VP46" s="29"/>
      <c r="VQ46" s="29"/>
      <c r="VR46" s="29"/>
      <c r="VS46" s="29"/>
      <c r="VT46" s="29"/>
      <c r="VU46" s="29"/>
      <c r="VV46" s="29"/>
      <c r="VW46" s="29"/>
      <c r="VX46" s="29"/>
      <c r="VY46" s="29"/>
      <c r="VZ46" s="29"/>
      <c r="WA46" s="29"/>
      <c r="WB46" s="29"/>
      <c r="WC46" s="29"/>
      <c r="WD46" s="29"/>
      <c r="WE46" s="29"/>
      <c r="WF46" s="29"/>
      <c r="WG46" s="29"/>
      <c r="WH46" s="29"/>
      <c r="WI46" s="29"/>
      <c r="WJ46" s="29"/>
      <c r="WK46" s="29"/>
      <c r="WL46" s="29"/>
      <c r="WM46" s="29"/>
      <c r="WN46" s="29"/>
      <c r="WO46" s="29"/>
      <c r="WP46" s="29"/>
      <c r="WQ46" s="29"/>
      <c r="WR46" s="29"/>
      <c r="WS46" s="29"/>
      <c r="WT46" s="29"/>
      <c r="WU46" s="29"/>
      <c r="WV46" s="29"/>
      <c r="WW46" s="29"/>
      <c r="WX46" s="29"/>
      <c r="WY46" s="29"/>
      <c r="WZ46" s="29"/>
      <c r="XA46" s="29"/>
      <c r="XB46" s="29"/>
      <c r="XC46" s="29"/>
      <c r="XD46" s="29"/>
      <c r="XE46" s="29"/>
      <c r="XF46" s="29"/>
      <c r="XG46" s="29"/>
      <c r="XH46" s="29"/>
      <c r="XI46" s="29"/>
      <c r="XJ46" s="29"/>
      <c r="XK46" s="29"/>
      <c r="XL46" s="29"/>
      <c r="XM46" s="29"/>
      <c r="XN46" s="29"/>
      <c r="XO46" s="29"/>
      <c r="XP46" s="29"/>
      <c r="XQ46" s="29"/>
      <c r="XR46" s="29"/>
      <c r="XS46" s="29"/>
      <c r="XT46" s="29"/>
      <c r="XU46" s="29"/>
      <c r="XV46" s="29"/>
      <c r="XW46" s="29"/>
      <c r="XX46" s="29"/>
      <c r="XY46" s="29"/>
      <c r="XZ46" s="29"/>
      <c r="YA46" s="29"/>
      <c r="YB46" s="29"/>
      <c r="YC46" s="29"/>
      <c r="YD46" s="29"/>
      <c r="YE46" s="29"/>
      <c r="YF46" s="29"/>
      <c r="YG46" s="29"/>
      <c r="YH46" s="29"/>
      <c r="YI46" s="29"/>
      <c r="YJ46" s="29"/>
      <c r="YK46" s="29"/>
      <c r="YL46" s="29"/>
      <c r="YM46" s="29"/>
      <c r="YN46" s="29"/>
      <c r="YO46" s="29"/>
      <c r="YP46" s="29"/>
      <c r="YQ46" s="29"/>
      <c r="YR46" s="29"/>
      <c r="YS46" s="29"/>
      <c r="YT46" s="29"/>
      <c r="YU46" s="29"/>
      <c r="YV46" s="29"/>
      <c r="YW46" s="29"/>
      <c r="YX46" s="29"/>
      <c r="YY46" s="29"/>
      <c r="YZ46" s="29"/>
      <c r="ZA46" s="29"/>
      <c r="ZB46" s="29"/>
      <c r="ZC46" s="29"/>
      <c r="ZD46" s="29"/>
      <c r="ZE46" s="29"/>
      <c r="ZF46" s="29"/>
      <c r="ZG46" s="29"/>
      <c r="ZH46" s="29"/>
      <c r="ZI46" s="29"/>
      <c r="ZJ46" s="29"/>
      <c r="ZK46" s="29"/>
      <c r="ZL46" s="29"/>
      <c r="ZM46" s="29"/>
      <c r="ZN46" s="29"/>
      <c r="ZO46" s="29"/>
      <c r="ZP46" s="29"/>
      <c r="ZQ46" s="29"/>
      <c r="ZR46" s="29"/>
      <c r="ZS46" s="29"/>
      <c r="ZT46" s="29"/>
      <c r="ZU46" s="29"/>
      <c r="ZV46" s="29"/>
      <c r="ZW46" s="29"/>
      <c r="ZX46" s="29"/>
      <c r="ZY46" s="29"/>
      <c r="ZZ46" s="29"/>
      <c r="AAA46" s="29"/>
      <c r="AAB46" s="29"/>
      <c r="AAC46" s="29"/>
      <c r="AAD46" s="29"/>
      <c r="AAE46" s="29"/>
      <c r="AAF46" s="29"/>
      <c r="AAG46" s="29"/>
      <c r="AAH46" s="29"/>
      <c r="AAI46" s="29"/>
      <c r="AAJ46" s="29"/>
      <c r="AAK46" s="29"/>
      <c r="AAL46" s="29"/>
      <c r="AAM46" s="29"/>
      <c r="AAN46" s="29"/>
      <c r="AAO46" s="29"/>
      <c r="AAP46" s="29"/>
      <c r="AAQ46" s="29"/>
      <c r="AAR46" s="29"/>
      <c r="AAS46" s="29"/>
      <c r="AAT46" s="29"/>
      <c r="AAU46" s="29"/>
      <c r="AAV46" s="29"/>
      <c r="AAW46" s="29"/>
      <c r="AAX46" s="29"/>
      <c r="AAY46" s="29"/>
      <c r="AAZ46" s="29"/>
      <c r="ABA46" s="29"/>
      <c r="ABB46" s="29"/>
      <c r="ABC46" s="29"/>
      <c r="ABD46" s="29"/>
      <c r="ABE46" s="29"/>
      <c r="ABF46" s="29"/>
      <c r="ABG46" s="29"/>
      <c r="ABH46" s="29"/>
      <c r="ABI46" s="29"/>
      <c r="ABJ46" s="29"/>
      <c r="ABK46" s="29"/>
      <c r="ABL46" s="29"/>
      <c r="ABM46" s="29"/>
      <c r="ABN46" s="29"/>
      <c r="ABO46" s="29"/>
      <c r="ABP46" s="29"/>
      <c r="ABQ46" s="29"/>
      <c r="ABR46" s="29"/>
      <c r="ABS46" s="29"/>
      <c r="ABT46" s="29"/>
      <c r="ABU46" s="29"/>
      <c r="ABV46" s="29"/>
      <c r="ABW46" s="29"/>
      <c r="ABX46" s="29"/>
      <c r="ABY46" s="29"/>
      <c r="ABZ46" s="29"/>
      <c r="ACA46" s="29"/>
      <c r="ACB46" s="29"/>
      <c r="ACC46" s="29"/>
      <c r="ACD46" s="29"/>
      <c r="ACE46" s="29"/>
      <c r="ACF46" s="29"/>
      <c r="ACG46" s="29"/>
      <c r="ACH46" s="29"/>
      <c r="ACI46" s="29"/>
      <c r="ACJ46" s="29"/>
      <c r="ACK46" s="29"/>
      <c r="ACL46" s="29"/>
      <c r="ACM46" s="29"/>
      <c r="ACN46" s="29"/>
      <c r="ACO46" s="29"/>
      <c r="ACP46" s="29"/>
      <c r="ACQ46" s="29"/>
      <c r="ACR46" s="29"/>
      <c r="ACS46" s="29"/>
      <c r="ACT46" s="29"/>
      <c r="ACU46" s="29"/>
      <c r="ACV46" s="29"/>
      <c r="ACW46" s="29"/>
      <c r="ACX46" s="29"/>
      <c r="ACY46" s="29"/>
      <c r="ACZ46" s="29"/>
      <c r="ADA46" s="29"/>
      <c r="ADB46" s="29"/>
      <c r="ADC46" s="29"/>
      <c r="ADD46" s="29"/>
      <c r="ADE46" s="29"/>
      <c r="ADF46" s="29"/>
      <c r="ADG46" s="29"/>
      <c r="ADH46" s="29"/>
      <c r="ADI46" s="29"/>
      <c r="ADJ46" s="29"/>
      <c r="ADK46" s="29"/>
      <c r="ADL46" s="29"/>
      <c r="ADM46" s="29"/>
      <c r="ADN46" s="29"/>
      <c r="ADO46" s="29"/>
      <c r="ADP46" s="29"/>
      <c r="ADQ46" s="29"/>
      <c r="ADR46" s="29"/>
      <c r="ADS46" s="29"/>
      <c r="ADT46" s="29"/>
      <c r="ADU46" s="29"/>
      <c r="ADV46" s="29"/>
      <c r="ADW46" s="29"/>
      <c r="ADX46" s="29"/>
      <c r="ADY46" s="29"/>
      <c r="ADZ46" s="29"/>
      <c r="AEA46" s="29"/>
      <c r="AEB46" s="29"/>
      <c r="AEC46" s="29"/>
      <c r="AED46" s="29"/>
      <c r="AEE46" s="29"/>
      <c r="AEF46" s="29"/>
      <c r="AEG46" s="29"/>
      <c r="AEH46" s="29"/>
      <c r="AEI46" s="29"/>
      <c r="AEJ46" s="29"/>
      <c r="AEK46" s="29"/>
      <c r="AEL46" s="29"/>
      <c r="AEM46" s="29"/>
      <c r="AEN46" s="29"/>
      <c r="AEO46" s="29"/>
      <c r="AEP46" s="29"/>
      <c r="AEQ46" s="29"/>
      <c r="AER46" s="29"/>
      <c r="AES46" s="29"/>
      <c r="AET46" s="29"/>
      <c r="AEU46" s="29"/>
      <c r="AEV46" s="29"/>
      <c r="AEW46" s="29"/>
      <c r="AEX46" s="29"/>
      <c r="AEY46" s="29"/>
      <c r="AEZ46" s="29"/>
      <c r="AFA46" s="29"/>
      <c r="AFB46" s="29"/>
      <c r="AFC46" s="29"/>
      <c r="AFD46" s="29"/>
      <c r="AFE46" s="29"/>
      <c r="AFF46" s="29"/>
      <c r="AFG46" s="29"/>
      <c r="AFH46" s="29"/>
      <c r="AFI46" s="29"/>
      <c r="AFJ46" s="29"/>
      <c r="AFK46" s="29"/>
      <c r="AFL46" s="29"/>
      <c r="AFM46" s="29"/>
      <c r="AFN46" s="29"/>
      <c r="AFO46" s="29"/>
      <c r="AFP46" s="29"/>
      <c r="AFQ46" s="29"/>
      <c r="AFR46" s="29"/>
      <c r="AFS46" s="29"/>
      <c r="AFT46" s="29"/>
      <c r="AFU46" s="29"/>
      <c r="AFV46" s="29"/>
      <c r="AFW46" s="29"/>
      <c r="AFX46" s="29"/>
      <c r="AFY46" s="29"/>
      <c r="AFZ46" s="29"/>
      <c r="AGA46" s="29"/>
      <c r="AGB46" s="29"/>
      <c r="AGC46" s="29"/>
      <c r="AGD46" s="29"/>
      <c r="AGE46" s="29"/>
      <c r="AGF46" s="29"/>
      <c r="AGG46" s="29"/>
      <c r="AGH46" s="29"/>
      <c r="AGI46" s="29"/>
      <c r="AGJ46" s="29"/>
      <c r="AGK46" s="29"/>
      <c r="AGL46" s="29"/>
      <c r="AGM46" s="29"/>
      <c r="AGN46" s="29"/>
      <c r="AGO46" s="29"/>
      <c r="AGP46" s="29"/>
      <c r="AGQ46" s="29"/>
      <c r="AGR46" s="29"/>
      <c r="AGS46" s="29"/>
      <c r="AGT46" s="29"/>
      <c r="AGU46" s="29"/>
      <c r="AGV46" s="29"/>
      <c r="AGW46" s="29"/>
      <c r="AGX46" s="29"/>
      <c r="AGY46" s="29"/>
      <c r="AGZ46" s="29"/>
      <c r="AHA46" s="29"/>
      <c r="AHB46" s="29"/>
      <c r="AHC46" s="29"/>
      <c r="AHD46" s="29"/>
      <c r="AHE46" s="29"/>
      <c r="AHF46" s="29"/>
      <c r="AHG46" s="29"/>
      <c r="AHH46" s="29"/>
      <c r="AHI46" s="29"/>
      <c r="AHJ46" s="29"/>
      <c r="AHK46" s="29"/>
      <c r="AHL46" s="29"/>
      <c r="AHM46" s="29"/>
      <c r="AHN46" s="29"/>
      <c r="AHO46" s="29"/>
      <c r="AHP46" s="29"/>
      <c r="AHQ46" s="29"/>
      <c r="AHR46" s="29"/>
      <c r="AHS46" s="29"/>
      <c r="AHT46" s="29"/>
      <c r="AHU46" s="29"/>
      <c r="AHV46" s="29"/>
      <c r="AHW46" s="29"/>
      <c r="AHX46" s="29"/>
      <c r="AHY46" s="29"/>
      <c r="AHZ46" s="29"/>
      <c r="AIA46" s="29"/>
      <c r="AIB46" s="29"/>
      <c r="AIC46" s="29"/>
      <c r="AID46" s="29"/>
      <c r="AIE46" s="29"/>
      <c r="AIF46" s="29"/>
      <c r="AIG46" s="29"/>
      <c r="AIH46" s="29"/>
      <c r="AII46" s="29"/>
      <c r="AIJ46" s="29"/>
      <c r="AIK46" s="29"/>
      <c r="AIL46" s="29"/>
      <c r="AIM46" s="29"/>
      <c r="AIN46" s="29"/>
      <c r="AIO46" s="29"/>
      <c r="AIP46" s="29"/>
      <c r="AIQ46" s="29"/>
      <c r="AIR46" s="29"/>
      <c r="AIS46" s="29"/>
      <c r="AIT46" s="29"/>
      <c r="AIU46" s="29"/>
      <c r="AIV46" s="29"/>
      <c r="AIW46" s="29"/>
      <c r="AIX46" s="29"/>
      <c r="AIY46" s="29"/>
      <c r="AIZ46" s="29"/>
      <c r="AJA46" s="29"/>
      <c r="AJB46" s="29"/>
      <c r="AJC46" s="29"/>
      <c r="AJD46" s="29"/>
      <c r="AJE46" s="29"/>
      <c r="AJF46" s="29"/>
      <c r="AJG46" s="29"/>
      <c r="AJH46" s="29"/>
      <c r="AJI46" s="29"/>
      <c r="AJJ46" s="29"/>
      <c r="AJK46" s="29"/>
      <c r="AJL46" s="29"/>
      <c r="AJM46" s="29"/>
      <c r="AJN46" s="29"/>
      <c r="AJO46" s="29"/>
      <c r="AJP46" s="29"/>
      <c r="AJQ46" s="29"/>
      <c r="AJR46" s="29"/>
      <c r="AJS46" s="29"/>
      <c r="AJT46" s="29"/>
      <c r="AJU46" s="29"/>
      <c r="AJV46" s="29"/>
      <c r="AJW46" s="29"/>
      <c r="AJX46" s="29"/>
      <c r="AJY46" s="29"/>
      <c r="AJZ46" s="29"/>
      <c r="AKA46" s="29"/>
      <c r="AKB46" s="29"/>
      <c r="AKC46" s="29"/>
      <c r="AKD46" s="29"/>
      <c r="AKE46" s="29"/>
      <c r="AKF46" s="29"/>
      <c r="AKG46" s="29"/>
      <c r="AKH46" s="29"/>
      <c r="AKI46" s="29"/>
      <c r="AKJ46" s="29"/>
      <c r="AKK46" s="29"/>
      <c r="AKL46" s="29"/>
      <c r="AKM46" s="29"/>
      <c r="AKN46" s="29"/>
      <c r="AKO46" s="29"/>
      <c r="AKP46" s="29"/>
      <c r="AKQ46" s="29"/>
      <c r="AKR46" s="29"/>
      <c r="AKS46" s="29"/>
      <c r="AKT46" s="29"/>
      <c r="AKU46" s="29"/>
      <c r="AKV46" s="29"/>
      <c r="AKW46" s="29"/>
      <c r="AKX46" s="29"/>
      <c r="AKY46" s="29"/>
      <c r="AKZ46" s="29"/>
      <c r="ALA46" s="29"/>
      <c r="ALB46" s="29"/>
      <c r="ALC46" s="29"/>
      <c r="ALD46" s="29"/>
      <c r="ALE46" s="29"/>
      <c r="ALF46" s="29"/>
      <c r="ALG46" s="29"/>
      <c r="ALH46" s="29"/>
      <c r="ALI46" s="29"/>
      <c r="ALJ46" s="29"/>
      <c r="ALK46" s="29"/>
      <c r="ALL46" s="29"/>
      <c r="ALM46" s="29"/>
      <c r="ALN46" s="29"/>
      <c r="ALO46" s="29"/>
      <c r="ALP46" s="29"/>
      <c r="ALQ46" s="29"/>
      <c r="ALR46" s="29"/>
      <c r="ALS46" s="29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  <c r="AMK46" s="29"/>
      <c r="AML46" s="29"/>
      <c r="AMM46" s="29"/>
      <c r="AMN46" s="29"/>
      <c r="AMO46" s="29"/>
      <c r="AMP46" s="29"/>
      <c r="AMQ46" s="29"/>
      <c r="AMR46" s="29"/>
      <c r="AMS46" s="29"/>
      <c r="AMT46" s="29"/>
      <c r="AMU46" s="29"/>
      <c r="AMV46" s="29"/>
      <c r="AMW46" s="29"/>
      <c r="AMX46" s="29"/>
      <c r="AMY46" s="29"/>
      <c r="AMZ46" s="29"/>
      <c r="ANA46" s="29"/>
      <c r="ANB46" s="29"/>
      <c r="ANC46" s="29"/>
      <c r="AND46" s="29"/>
      <c r="ANE46" s="29"/>
      <c r="ANF46" s="29"/>
      <c r="ANG46" s="29"/>
      <c r="ANH46" s="29"/>
      <c r="ANI46" s="29"/>
      <c r="ANJ46" s="29"/>
      <c r="ANK46" s="29"/>
      <c r="ANL46" s="29"/>
      <c r="ANM46" s="29"/>
      <c r="ANN46" s="29"/>
      <c r="ANO46" s="29"/>
      <c r="ANP46" s="29"/>
      <c r="ANQ46" s="29"/>
      <c r="ANR46" s="29"/>
      <c r="ANS46" s="29"/>
      <c r="ANT46" s="29"/>
      <c r="ANU46" s="29"/>
      <c r="ANV46" s="29"/>
      <c r="ANW46" s="29"/>
      <c r="ANX46" s="29"/>
      <c r="ANY46" s="29"/>
      <c r="ANZ46" s="29"/>
      <c r="AOA46" s="29"/>
      <c r="AOB46" s="29"/>
      <c r="AOC46" s="29"/>
      <c r="AOD46" s="29"/>
      <c r="AOE46" s="29"/>
      <c r="AOF46" s="29"/>
      <c r="AOG46" s="29"/>
      <c r="AOH46" s="29"/>
      <c r="AOI46" s="29"/>
      <c r="AOJ46" s="29"/>
      <c r="AOK46" s="29"/>
      <c r="AOL46" s="29"/>
      <c r="AOM46" s="29"/>
      <c r="AON46" s="29"/>
      <c r="AOO46" s="29"/>
      <c r="AOP46" s="29"/>
      <c r="AOQ46" s="29"/>
      <c r="AOR46" s="29"/>
      <c r="AOS46" s="29"/>
      <c r="AOT46" s="29"/>
      <c r="AOU46" s="29"/>
      <c r="AOV46" s="29"/>
      <c r="AOW46" s="29"/>
      <c r="AOX46" s="29"/>
      <c r="AOY46" s="29"/>
      <c r="AOZ46" s="29"/>
      <c r="APA46" s="29"/>
      <c r="APB46" s="29"/>
      <c r="APC46" s="29"/>
      <c r="APD46" s="29"/>
      <c r="APE46" s="29"/>
      <c r="APF46" s="29"/>
      <c r="APG46" s="29"/>
      <c r="APH46" s="29"/>
      <c r="API46" s="29"/>
      <c r="APJ46" s="29"/>
      <c r="APK46" s="29"/>
      <c r="APL46" s="29"/>
      <c r="APM46" s="29"/>
      <c r="APN46" s="29"/>
      <c r="APO46" s="29"/>
      <c r="APP46" s="29"/>
      <c r="APQ46" s="29"/>
      <c r="APR46" s="29"/>
      <c r="APS46" s="29"/>
      <c r="APT46" s="29"/>
      <c r="APU46" s="29"/>
      <c r="APV46" s="29"/>
      <c r="APW46" s="29"/>
      <c r="APX46" s="29"/>
      <c r="APY46" s="29"/>
      <c r="APZ46" s="29"/>
      <c r="AQA46" s="29"/>
      <c r="AQB46" s="29"/>
      <c r="AQC46" s="29"/>
      <c r="AQD46" s="29"/>
      <c r="AQE46" s="29"/>
      <c r="AQF46" s="29"/>
      <c r="AQG46" s="29"/>
      <c r="AQH46" s="29"/>
      <c r="AQI46" s="29"/>
      <c r="AQJ46" s="29"/>
      <c r="AQK46" s="29"/>
      <c r="AQL46" s="29"/>
      <c r="AQM46" s="29"/>
      <c r="AQN46" s="29"/>
      <c r="AQO46" s="29"/>
      <c r="AQP46" s="29"/>
      <c r="AQQ46" s="29"/>
      <c r="AQR46" s="29"/>
      <c r="AQS46" s="29"/>
      <c r="AQT46" s="29"/>
      <c r="AQU46" s="29"/>
      <c r="AQV46" s="29"/>
      <c r="AQW46" s="29"/>
      <c r="AQX46" s="29"/>
      <c r="AQY46" s="29"/>
      <c r="AQZ46" s="29"/>
      <c r="ARA46" s="29"/>
      <c r="ARB46" s="29"/>
      <c r="ARC46" s="29"/>
      <c r="ARD46" s="29"/>
      <c r="ARE46" s="29"/>
      <c r="ARF46" s="29"/>
      <c r="ARG46" s="29"/>
      <c r="ARH46" s="29"/>
      <c r="ARI46" s="29"/>
      <c r="ARJ46" s="29"/>
      <c r="ARK46" s="29"/>
      <c r="ARL46" s="29"/>
      <c r="ARM46" s="29"/>
      <c r="ARN46" s="29"/>
      <c r="ARO46" s="29"/>
      <c r="ARP46" s="29"/>
      <c r="ARQ46" s="29"/>
      <c r="ARR46" s="29"/>
      <c r="ARS46" s="29"/>
      <c r="ART46" s="29"/>
      <c r="ARU46" s="29"/>
      <c r="ARV46" s="29"/>
      <c r="ARW46" s="29"/>
      <c r="ARX46" s="29"/>
      <c r="ARY46" s="29"/>
      <c r="ARZ46" s="29"/>
      <c r="ASA46" s="29"/>
      <c r="ASB46" s="29"/>
      <c r="ASC46" s="29"/>
      <c r="ASD46" s="29"/>
      <c r="ASE46" s="29"/>
      <c r="ASF46" s="29"/>
      <c r="ASG46" s="29"/>
      <c r="ASH46" s="29"/>
      <c r="ASI46" s="29"/>
      <c r="ASJ46" s="29"/>
      <c r="ASK46" s="29"/>
      <c r="ASL46" s="29"/>
      <c r="ASM46" s="29"/>
      <c r="ASN46" s="29"/>
      <c r="ASO46" s="29"/>
      <c r="ASP46" s="29"/>
      <c r="ASQ46" s="29"/>
      <c r="ASR46" s="29"/>
      <c r="ASS46" s="29"/>
      <c r="AST46" s="29"/>
      <c r="ASU46" s="29"/>
      <c r="ASV46" s="29"/>
      <c r="ASW46" s="29"/>
      <c r="ASX46" s="29"/>
      <c r="ASY46" s="29"/>
      <c r="ASZ46" s="29"/>
      <c r="ATA46" s="29"/>
      <c r="ATB46" s="29"/>
      <c r="ATC46" s="29"/>
      <c r="ATD46" s="29"/>
      <c r="ATE46" s="29"/>
      <c r="ATF46" s="29"/>
      <c r="ATG46" s="29"/>
      <c r="ATH46" s="29"/>
      <c r="ATI46" s="29"/>
      <c r="ATJ46" s="29"/>
      <c r="ATK46" s="29"/>
      <c r="ATL46" s="29"/>
      <c r="ATM46" s="29"/>
      <c r="ATN46" s="29"/>
      <c r="ATO46" s="29"/>
      <c r="ATP46" s="29"/>
      <c r="ATQ46" s="29"/>
      <c r="ATR46" s="29"/>
      <c r="ATS46" s="29"/>
      <c r="ATT46" s="29"/>
      <c r="ATU46" s="29"/>
      <c r="ATV46" s="29"/>
      <c r="ATW46" s="29"/>
      <c r="ATX46" s="29"/>
      <c r="ATY46" s="29"/>
      <c r="ATZ46" s="29"/>
      <c r="AUA46" s="29"/>
      <c r="AUB46" s="29"/>
      <c r="AUC46" s="29"/>
      <c r="AUD46" s="29"/>
      <c r="AUE46" s="29"/>
      <c r="AUF46" s="29"/>
      <c r="AUG46" s="29"/>
      <c r="AUH46" s="29"/>
      <c r="AUI46" s="29"/>
      <c r="AUJ46" s="29"/>
      <c r="AUK46" s="29"/>
      <c r="AUL46" s="29"/>
      <c r="AUM46" s="29"/>
      <c r="AUN46" s="29"/>
      <c r="AUO46" s="29"/>
      <c r="AUP46" s="29"/>
      <c r="AUQ46" s="29"/>
      <c r="AUR46" s="29"/>
      <c r="AUS46" s="29"/>
      <c r="AUT46" s="29"/>
      <c r="AUU46" s="29"/>
      <c r="AUV46" s="29"/>
      <c r="AUW46" s="29"/>
      <c r="AUX46" s="29"/>
      <c r="AUY46" s="29"/>
      <c r="AUZ46" s="29"/>
      <c r="AVA46" s="29"/>
      <c r="AVB46" s="29"/>
      <c r="AVC46" s="29"/>
      <c r="AVD46" s="29"/>
      <c r="AVE46" s="29"/>
      <c r="AVF46" s="29"/>
      <c r="AVG46" s="29"/>
      <c r="AVH46" s="29"/>
      <c r="AVI46" s="29"/>
      <c r="AVJ46" s="29"/>
      <c r="AVK46" s="29"/>
      <c r="AVL46" s="29"/>
      <c r="AVM46" s="29"/>
      <c r="AVN46" s="29"/>
      <c r="AVO46" s="29"/>
      <c r="AVP46" s="29"/>
      <c r="AVQ46" s="29"/>
      <c r="AVR46" s="29"/>
      <c r="AVS46" s="29"/>
      <c r="AVT46" s="29"/>
      <c r="AVU46" s="29"/>
      <c r="AVV46" s="29"/>
      <c r="AVW46" s="29"/>
      <c r="AVX46" s="29"/>
      <c r="AVY46" s="29"/>
      <c r="AVZ46" s="29"/>
      <c r="AWA46" s="29"/>
      <c r="AWB46" s="29"/>
      <c r="AWC46" s="29"/>
      <c r="AWD46" s="29"/>
      <c r="AWE46" s="29"/>
      <c r="AWF46" s="29"/>
      <c r="AWG46" s="29"/>
      <c r="AWH46" s="29"/>
      <c r="AWI46" s="29"/>
      <c r="AWJ46" s="29"/>
      <c r="AWK46" s="29"/>
      <c r="AWL46" s="29"/>
      <c r="AWM46" s="29"/>
      <c r="AWN46" s="29"/>
      <c r="AWO46" s="29"/>
      <c r="AWP46" s="29"/>
      <c r="AWQ46" s="29"/>
      <c r="AWR46" s="29"/>
      <c r="AWS46" s="29"/>
      <c r="AWT46" s="29"/>
      <c r="AWU46" s="29"/>
      <c r="AWV46" s="29"/>
      <c r="AWW46" s="29"/>
      <c r="AWX46" s="29"/>
      <c r="AWY46" s="29"/>
      <c r="AWZ46" s="29"/>
      <c r="AXA46" s="29"/>
      <c r="AXB46" s="29"/>
      <c r="AXC46" s="29"/>
      <c r="AXD46" s="29"/>
      <c r="AXE46" s="29"/>
      <c r="AXF46" s="29"/>
      <c r="AXG46" s="29"/>
      <c r="AXH46" s="29"/>
      <c r="AXI46" s="29"/>
      <c r="AXJ46" s="29"/>
      <c r="AXK46" s="29"/>
      <c r="AXL46" s="29"/>
      <c r="AXM46" s="29"/>
      <c r="AXN46" s="29"/>
      <c r="AXO46" s="29"/>
      <c r="AXP46" s="29"/>
      <c r="AXQ46" s="29"/>
      <c r="AXR46" s="29"/>
      <c r="AXS46" s="29"/>
      <c r="AXT46" s="29"/>
      <c r="AXU46" s="29"/>
      <c r="AXV46" s="29"/>
      <c r="AXW46" s="29"/>
      <c r="AXX46" s="29"/>
      <c r="AXY46" s="29"/>
      <c r="AXZ46" s="29"/>
      <c r="AYA46" s="29"/>
      <c r="AYB46" s="29"/>
      <c r="AYC46" s="29"/>
      <c r="AYD46" s="29"/>
      <c r="AYE46" s="29"/>
      <c r="AYF46" s="29"/>
      <c r="AYG46" s="29"/>
      <c r="AYH46" s="29"/>
      <c r="AYI46" s="29"/>
      <c r="AYJ46" s="29"/>
      <c r="AYK46" s="29"/>
      <c r="AYL46" s="29"/>
      <c r="AYM46" s="29"/>
      <c r="AYN46" s="29"/>
      <c r="AYO46" s="29"/>
      <c r="AYP46" s="29"/>
      <c r="AYQ46" s="29"/>
      <c r="AYR46" s="29"/>
      <c r="AYS46" s="29"/>
      <c r="AYT46" s="29"/>
      <c r="AYU46" s="29"/>
      <c r="AYV46" s="29"/>
      <c r="AYW46" s="29"/>
      <c r="AYX46" s="29"/>
      <c r="AYY46" s="29"/>
      <c r="AYZ46" s="29"/>
      <c r="AZA46" s="29"/>
      <c r="AZB46" s="29"/>
      <c r="AZC46" s="29"/>
      <c r="AZD46" s="29"/>
      <c r="AZE46" s="29"/>
      <c r="AZF46" s="29"/>
      <c r="AZG46" s="29"/>
      <c r="AZH46" s="29"/>
      <c r="AZI46" s="29"/>
      <c r="AZJ46" s="29"/>
      <c r="AZK46" s="29"/>
      <c r="AZL46" s="29"/>
      <c r="AZM46" s="29"/>
      <c r="AZN46" s="29"/>
      <c r="AZO46" s="29"/>
      <c r="AZP46" s="29"/>
      <c r="AZQ46" s="29"/>
      <c r="AZR46" s="29"/>
      <c r="AZS46" s="29"/>
      <c r="AZT46" s="29"/>
      <c r="AZU46" s="29"/>
      <c r="AZV46" s="29"/>
      <c r="AZW46" s="29"/>
      <c r="AZX46" s="29"/>
      <c r="AZY46" s="29"/>
      <c r="AZZ46" s="29"/>
      <c r="BAA46" s="29"/>
      <c r="BAB46" s="29"/>
      <c r="BAC46" s="29"/>
      <c r="BAD46" s="29"/>
      <c r="BAE46" s="29"/>
      <c r="BAF46" s="29"/>
      <c r="BAG46" s="29"/>
      <c r="BAH46" s="29"/>
      <c r="BAI46" s="29"/>
      <c r="BAJ46" s="29"/>
      <c r="BAK46" s="29"/>
      <c r="BAL46" s="29"/>
      <c r="BAM46" s="29"/>
      <c r="BAN46" s="29"/>
      <c r="BAO46" s="29"/>
      <c r="BAP46" s="29"/>
      <c r="BAQ46" s="29"/>
      <c r="BAR46" s="29"/>
      <c r="BAS46" s="29"/>
      <c r="BAT46" s="29"/>
      <c r="BAU46" s="29"/>
      <c r="BAV46" s="29"/>
      <c r="BAW46" s="29"/>
      <c r="BAX46" s="29"/>
      <c r="BAY46" s="29"/>
      <c r="BAZ46" s="29"/>
      <c r="BBA46" s="29"/>
      <c r="BBB46" s="29"/>
      <c r="BBC46" s="29"/>
      <c r="BBD46" s="29"/>
      <c r="BBE46" s="29"/>
      <c r="BBF46" s="29"/>
      <c r="BBG46" s="29"/>
      <c r="BBH46" s="29"/>
      <c r="BBI46" s="29"/>
      <c r="BBJ46" s="29"/>
      <c r="BBK46" s="29"/>
      <c r="BBL46" s="29"/>
      <c r="BBM46" s="29"/>
      <c r="BBN46" s="29"/>
      <c r="BBO46" s="29"/>
      <c r="BBP46" s="29"/>
      <c r="BBQ46" s="29"/>
      <c r="BBR46" s="29"/>
      <c r="BBS46" s="29"/>
      <c r="BBT46" s="29"/>
      <c r="BBU46" s="29"/>
      <c r="BBV46" s="29"/>
      <c r="BBW46" s="29"/>
      <c r="BBX46" s="29"/>
      <c r="BBY46" s="29"/>
      <c r="BBZ46" s="29"/>
      <c r="BCA46" s="29"/>
      <c r="BCB46" s="29"/>
      <c r="BCC46" s="29"/>
      <c r="BCD46" s="29"/>
      <c r="BCE46" s="29"/>
      <c r="BCF46" s="29"/>
      <c r="BCG46" s="29"/>
      <c r="BCH46" s="29"/>
      <c r="BCI46" s="29"/>
      <c r="BCJ46" s="29"/>
      <c r="BCK46" s="29"/>
      <c r="BCL46" s="29"/>
      <c r="BCM46" s="29"/>
      <c r="BCN46" s="29"/>
      <c r="BCO46" s="29"/>
      <c r="BCP46" s="29"/>
      <c r="BCQ46" s="29"/>
      <c r="BCR46" s="29"/>
      <c r="BCS46" s="29"/>
      <c r="BCT46" s="29"/>
      <c r="BCU46" s="29"/>
      <c r="BCV46" s="29"/>
      <c r="BCW46" s="29"/>
      <c r="BCX46" s="29"/>
      <c r="BCY46" s="29"/>
      <c r="BCZ46" s="29"/>
      <c r="BDA46" s="29"/>
      <c r="BDB46" s="29"/>
      <c r="BDC46" s="29"/>
      <c r="BDD46" s="29"/>
      <c r="BDE46" s="29"/>
      <c r="BDF46" s="29"/>
      <c r="BDG46" s="29"/>
      <c r="BDH46" s="29"/>
      <c r="BDI46" s="29"/>
      <c r="BDJ46" s="29"/>
      <c r="BDK46" s="29"/>
      <c r="BDL46" s="29"/>
      <c r="BDM46" s="29"/>
      <c r="BDN46" s="29"/>
      <c r="BDO46" s="29"/>
      <c r="BDP46" s="29"/>
      <c r="BDQ46" s="29"/>
      <c r="BDR46" s="29"/>
      <c r="BDS46" s="29"/>
      <c r="BDT46" s="29"/>
      <c r="BDU46" s="29"/>
      <c r="BDV46" s="29"/>
      <c r="BDW46" s="29"/>
      <c r="BDX46" s="29"/>
      <c r="BDY46" s="29"/>
      <c r="BDZ46" s="29"/>
      <c r="BEA46" s="29"/>
      <c r="BEB46" s="29"/>
      <c r="BEC46" s="29"/>
      <c r="BED46" s="29"/>
      <c r="BEE46" s="29"/>
      <c r="BEF46" s="29"/>
      <c r="BEG46" s="29"/>
      <c r="BEH46" s="29"/>
      <c r="BEI46" s="29"/>
      <c r="BEJ46" s="29"/>
      <c r="BEK46" s="29"/>
      <c r="BEL46" s="29"/>
      <c r="BEM46" s="29"/>
      <c r="BEN46" s="29"/>
      <c r="BEO46" s="29"/>
      <c r="BEP46" s="29"/>
      <c r="BEQ46" s="29"/>
      <c r="BER46" s="29"/>
      <c r="BES46" s="29"/>
      <c r="BET46" s="29"/>
      <c r="BEU46" s="29"/>
      <c r="BEV46" s="29"/>
      <c r="BEW46" s="29"/>
      <c r="BEX46" s="29"/>
      <c r="BEY46" s="29"/>
      <c r="BEZ46" s="29"/>
      <c r="BFA46" s="29"/>
      <c r="BFB46" s="29"/>
      <c r="BFC46" s="29"/>
      <c r="BFD46" s="29"/>
      <c r="BFE46" s="29"/>
      <c r="BFF46" s="29"/>
      <c r="BFG46" s="29"/>
      <c r="BFH46" s="29"/>
      <c r="BFI46" s="29"/>
      <c r="BFJ46" s="29"/>
      <c r="BFK46" s="29"/>
      <c r="BFL46" s="29"/>
      <c r="BFM46" s="29"/>
      <c r="BFN46" s="29"/>
      <c r="BFO46" s="29"/>
      <c r="BFP46" s="29"/>
      <c r="BFQ46" s="29"/>
      <c r="BFR46" s="29"/>
      <c r="BFS46" s="29"/>
      <c r="BFT46" s="29"/>
      <c r="BFU46" s="29"/>
      <c r="BFV46" s="29"/>
      <c r="BFW46" s="29"/>
      <c r="BFX46" s="29"/>
      <c r="BFY46" s="29"/>
      <c r="BFZ46" s="29"/>
      <c r="BGA46" s="29"/>
      <c r="BGB46" s="29"/>
      <c r="BGC46" s="29"/>
      <c r="BGD46" s="29"/>
      <c r="BGE46" s="29"/>
      <c r="BGF46" s="29"/>
      <c r="BGG46" s="29"/>
      <c r="BGH46" s="29"/>
      <c r="BGI46" s="29"/>
      <c r="BGJ46" s="29"/>
      <c r="BGK46" s="29"/>
      <c r="BGL46" s="29"/>
      <c r="BGM46" s="29"/>
      <c r="BGN46" s="29"/>
      <c r="BGO46" s="29"/>
      <c r="BGP46" s="29"/>
      <c r="BGQ46" s="29"/>
      <c r="BGR46" s="29"/>
      <c r="BGS46" s="29"/>
      <c r="BGT46" s="29"/>
      <c r="BGU46" s="29"/>
      <c r="BGV46" s="29"/>
      <c r="BGW46" s="29"/>
      <c r="BGX46" s="29"/>
      <c r="BGY46" s="29"/>
      <c r="BGZ46" s="29"/>
      <c r="BHA46" s="29"/>
      <c r="BHB46" s="29"/>
      <c r="BHC46" s="29"/>
      <c r="BHD46" s="29"/>
      <c r="BHE46" s="29"/>
      <c r="BHF46" s="29"/>
      <c r="BHG46" s="29"/>
      <c r="BHH46" s="29"/>
      <c r="BHI46" s="29"/>
      <c r="BHJ46" s="29"/>
      <c r="BHK46" s="29"/>
      <c r="BHL46" s="29"/>
      <c r="BHM46" s="29"/>
      <c r="BHN46" s="29"/>
      <c r="BHO46" s="29"/>
      <c r="BHP46" s="29"/>
      <c r="BHQ46" s="29"/>
      <c r="BHR46" s="29"/>
      <c r="BHS46" s="29"/>
      <c r="BHT46" s="29"/>
      <c r="BHU46" s="29"/>
      <c r="BHV46" s="29"/>
      <c r="BHW46" s="29"/>
      <c r="BHX46" s="29"/>
      <c r="BHY46" s="29"/>
      <c r="BHZ46" s="29"/>
      <c r="BIA46" s="29"/>
      <c r="BIB46" s="29"/>
      <c r="BIC46" s="29"/>
      <c r="BID46" s="29"/>
      <c r="BIE46" s="29"/>
      <c r="BIF46" s="29"/>
      <c r="BIG46" s="29"/>
      <c r="BIH46" s="29"/>
      <c r="BII46" s="29"/>
      <c r="BIJ46" s="29"/>
      <c r="BIK46" s="29"/>
      <c r="BIL46" s="29"/>
      <c r="BIM46" s="29"/>
      <c r="BIN46" s="29"/>
      <c r="BIO46" s="29"/>
      <c r="BIP46" s="29"/>
      <c r="BIQ46" s="29"/>
      <c r="BIR46" s="29"/>
      <c r="BIS46" s="29"/>
      <c r="BIT46" s="29"/>
      <c r="BIU46" s="29"/>
      <c r="BIV46" s="29"/>
      <c r="BIW46" s="29"/>
      <c r="BIX46" s="29"/>
      <c r="BIY46" s="29"/>
      <c r="BIZ46" s="29"/>
      <c r="BJA46" s="29"/>
      <c r="BJB46" s="29"/>
      <c r="BJC46" s="29"/>
      <c r="BJD46" s="29"/>
      <c r="BJE46" s="29"/>
      <c r="BJF46" s="29"/>
      <c r="BJG46" s="29"/>
      <c r="BJH46" s="29"/>
      <c r="BJI46" s="29"/>
      <c r="BJJ46" s="29"/>
      <c r="BJK46" s="29"/>
      <c r="BJL46" s="29"/>
      <c r="BJM46" s="29"/>
      <c r="BJN46" s="29"/>
      <c r="BJO46" s="29"/>
      <c r="BJP46" s="29"/>
      <c r="BJQ46" s="29"/>
      <c r="BJR46" s="29"/>
      <c r="BJS46" s="29"/>
      <c r="BJT46" s="29"/>
      <c r="BJU46" s="29"/>
      <c r="BJV46" s="29"/>
      <c r="BJW46" s="29"/>
      <c r="BJX46" s="29"/>
      <c r="BJY46" s="29"/>
      <c r="BJZ46" s="29"/>
      <c r="BKA46" s="29"/>
      <c r="BKB46" s="29"/>
      <c r="BKC46" s="29"/>
      <c r="BKD46" s="29"/>
      <c r="BKE46" s="29"/>
      <c r="BKF46" s="29"/>
      <c r="BKG46" s="29"/>
      <c r="BKH46" s="29"/>
      <c r="BKI46" s="29"/>
      <c r="BKJ46" s="29"/>
      <c r="BKK46" s="29"/>
      <c r="BKL46" s="29"/>
      <c r="BKM46" s="29"/>
      <c r="BKN46" s="29"/>
      <c r="BKO46" s="29"/>
      <c r="BKP46" s="29"/>
      <c r="BKQ46" s="29"/>
      <c r="BKR46" s="29"/>
      <c r="BKS46" s="29"/>
      <c r="BKT46" s="29"/>
      <c r="BKU46" s="29"/>
      <c r="BKV46" s="29"/>
      <c r="BKW46" s="29"/>
      <c r="BKX46" s="29"/>
      <c r="BKY46" s="29"/>
      <c r="BKZ46" s="29"/>
      <c r="BLA46" s="29"/>
      <c r="BLB46" s="29"/>
      <c r="BLC46" s="29"/>
      <c r="BLD46" s="29"/>
      <c r="BLE46" s="29"/>
      <c r="BLF46" s="29"/>
      <c r="BLG46" s="29"/>
      <c r="BLH46" s="29"/>
      <c r="BLI46" s="29"/>
      <c r="BLJ46" s="29"/>
      <c r="BLK46" s="29"/>
      <c r="BLL46" s="29"/>
      <c r="BLM46" s="29"/>
      <c r="BLN46" s="29"/>
      <c r="BLO46" s="29"/>
      <c r="BLP46" s="29"/>
      <c r="BLQ46" s="29"/>
      <c r="BLR46" s="29"/>
      <c r="BLS46" s="29"/>
      <c r="BLT46" s="29"/>
      <c r="BLU46" s="29"/>
      <c r="BLV46" s="29"/>
      <c r="BLW46" s="29"/>
      <c r="BLX46" s="29"/>
      <c r="BLY46" s="29"/>
      <c r="BLZ46" s="29"/>
      <c r="BMA46" s="29"/>
      <c r="BMB46" s="29"/>
      <c r="BMC46" s="29"/>
      <c r="BMD46" s="29"/>
      <c r="BME46" s="29"/>
      <c r="BMF46" s="29"/>
      <c r="BMG46" s="29"/>
      <c r="BMH46" s="29"/>
      <c r="BMI46" s="29"/>
      <c r="BMJ46" s="29"/>
      <c r="BMK46" s="29"/>
      <c r="BML46" s="29"/>
      <c r="BMM46" s="29"/>
      <c r="BMN46" s="29"/>
      <c r="BMO46" s="29"/>
      <c r="BMP46" s="29"/>
      <c r="BMQ46" s="29"/>
      <c r="BMR46" s="29"/>
      <c r="BMS46" s="29"/>
      <c r="BMT46" s="29"/>
      <c r="BMU46" s="29"/>
      <c r="BMV46" s="29"/>
      <c r="BMW46" s="29"/>
      <c r="BMX46" s="29"/>
      <c r="BMY46" s="29"/>
      <c r="BMZ46" s="29"/>
      <c r="BNA46" s="29"/>
      <c r="BNB46" s="29"/>
      <c r="BNC46" s="29"/>
      <c r="BND46" s="29"/>
      <c r="BNE46" s="29"/>
      <c r="BNF46" s="29"/>
      <c r="BNG46" s="29"/>
      <c r="BNH46" s="29"/>
      <c r="BNI46" s="29"/>
      <c r="BNJ46" s="29"/>
      <c r="BNK46" s="29"/>
      <c r="BNL46" s="29"/>
      <c r="BNM46" s="29"/>
      <c r="BNN46" s="29"/>
      <c r="BNO46" s="29"/>
      <c r="BNP46" s="29"/>
      <c r="BNQ46" s="29"/>
      <c r="BNR46" s="29"/>
      <c r="BNS46" s="29"/>
      <c r="BNT46" s="29"/>
      <c r="BNU46" s="29"/>
      <c r="BNV46" s="29"/>
      <c r="BNW46" s="29"/>
      <c r="BNX46" s="29"/>
      <c r="BNY46" s="29"/>
      <c r="BNZ46" s="29"/>
      <c r="BOA46" s="29"/>
      <c r="BOB46" s="29"/>
      <c r="BOC46" s="29"/>
      <c r="BOD46" s="29"/>
      <c r="BOE46" s="29"/>
      <c r="BOF46" s="29"/>
      <c r="BOG46" s="29"/>
      <c r="BOH46" s="29"/>
      <c r="BOI46" s="29"/>
      <c r="BOJ46" s="29"/>
      <c r="BOK46" s="29"/>
      <c r="BOL46" s="29"/>
      <c r="BOM46" s="29"/>
      <c r="BON46" s="29"/>
      <c r="BOO46" s="29"/>
      <c r="BOP46" s="29"/>
      <c r="BOQ46" s="29"/>
      <c r="BOR46" s="29"/>
      <c r="BOS46" s="29"/>
      <c r="BOT46" s="29"/>
      <c r="BOU46" s="29"/>
      <c r="BOV46" s="29"/>
      <c r="BOW46" s="29"/>
      <c r="BOX46" s="29"/>
      <c r="BOY46" s="29"/>
      <c r="BOZ46" s="29"/>
      <c r="BPA46" s="29"/>
      <c r="BPB46" s="29"/>
      <c r="BPC46" s="29"/>
      <c r="BPD46" s="29"/>
      <c r="BPE46" s="29"/>
      <c r="BPF46" s="29"/>
      <c r="BPG46" s="29"/>
      <c r="BPH46" s="29"/>
      <c r="BPI46" s="29"/>
      <c r="BPJ46" s="29"/>
      <c r="BPK46" s="29"/>
      <c r="BPL46" s="29"/>
      <c r="BPM46" s="29"/>
      <c r="BPN46" s="29"/>
      <c r="BPO46" s="29"/>
      <c r="BPP46" s="29"/>
      <c r="BPQ46" s="29"/>
      <c r="BPR46" s="29"/>
      <c r="BPS46" s="29"/>
      <c r="BPT46" s="29"/>
      <c r="BPU46" s="29"/>
      <c r="BPV46" s="29"/>
      <c r="BPW46" s="29"/>
      <c r="BPX46" s="29"/>
      <c r="BPY46" s="29"/>
      <c r="BPZ46" s="29"/>
      <c r="BQA46" s="29"/>
      <c r="BQB46" s="29"/>
      <c r="BQC46" s="29"/>
      <c r="BQD46" s="29"/>
      <c r="BQE46" s="29"/>
      <c r="BQF46" s="29"/>
      <c r="BQG46" s="29"/>
      <c r="BQH46" s="29"/>
      <c r="BQI46" s="29"/>
      <c r="BQJ46" s="29"/>
      <c r="BQK46" s="29"/>
      <c r="BQL46" s="29"/>
      <c r="BQM46" s="29"/>
      <c r="BQN46" s="29"/>
      <c r="BQO46" s="29"/>
      <c r="BQP46" s="29"/>
      <c r="BQQ46" s="29"/>
      <c r="BQR46" s="29"/>
      <c r="BQS46" s="29"/>
      <c r="BQT46" s="29"/>
      <c r="BQU46" s="29"/>
      <c r="BQV46" s="29"/>
      <c r="BQW46" s="29"/>
      <c r="BQX46" s="29"/>
      <c r="BQY46" s="29"/>
      <c r="BQZ46" s="29"/>
      <c r="BRA46" s="29"/>
      <c r="BRB46" s="29"/>
      <c r="BRC46" s="29"/>
      <c r="BRD46" s="29"/>
      <c r="BRE46" s="29"/>
      <c r="BRF46" s="29"/>
      <c r="BRG46" s="29"/>
      <c r="BRH46" s="29"/>
      <c r="BRI46" s="29"/>
      <c r="BRJ46" s="29"/>
      <c r="BRK46" s="29"/>
      <c r="BRL46" s="29"/>
      <c r="BRM46" s="29"/>
      <c r="BRN46" s="29"/>
      <c r="BRO46" s="29"/>
      <c r="BRP46" s="29"/>
      <c r="BRQ46" s="29"/>
      <c r="BRR46" s="29"/>
      <c r="BRS46" s="29"/>
      <c r="BRT46" s="29"/>
      <c r="BRU46" s="29"/>
      <c r="BRV46" s="29"/>
      <c r="BRW46" s="29"/>
      <c r="BRX46" s="29"/>
      <c r="BRY46" s="29"/>
      <c r="BRZ46" s="29"/>
      <c r="BSA46" s="29"/>
      <c r="BSB46" s="29"/>
      <c r="BSC46" s="29"/>
      <c r="BSD46" s="29"/>
      <c r="BSE46" s="29"/>
      <c r="BSF46" s="29"/>
      <c r="BSG46" s="29"/>
      <c r="BSH46" s="29"/>
      <c r="BSI46" s="29"/>
      <c r="BSJ46" s="29"/>
      <c r="BSK46" s="29"/>
      <c r="BSL46" s="29"/>
      <c r="BSM46" s="29"/>
      <c r="BSN46" s="29"/>
      <c r="BSO46" s="29"/>
      <c r="BSP46" s="29"/>
      <c r="BSQ46" s="29"/>
      <c r="BSR46" s="29"/>
      <c r="BSS46" s="29"/>
      <c r="BST46" s="29"/>
      <c r="BSU46" s="29"/>
      <c r="BSV46" s="29"/>
      <c r="BSW46" s="29"/>
      <c r="BSX46" s="29"/>
      <c r="BSY46" s="29"/>
      <c r="BSZ46" s="29"/>
      <c r="BTA46" s="29"/>
      <c r="BTB46" s="29"/>
      <c r="BTC46" s="29"/>
      <c r="BTD46" s="29"/>
      <c r="BTE46" s="29"/>
      <c r="BTF46" s="29"/>
      <c r="BTG46" s="29"/>
      <c r="BTH46" s="29"/>
      <c r="BTI46" s="29"/>
      <c r="BTJ46" s="29"/>
      <c r="BTK46" s="29"/>
      <c r="BTL46" s="29"/>
      <c r="BTM46" s="29"/>
      <c r="BTN46" s="29"/>
      <c r="BTO46" s="29"/>
      <c r="BTP46" s="29"/>
      <c r="BTQ46" s="29"/>
      <c r="BTR46" s="29"/>
      <c r="BTS46" s="29"/>
      <c r="BTT46" s="29"/>
      <c r="BTU46" s="29"/>
      <c r="BTV46" s="29"/>
      <c r="BTW46" s="29"/>
      <c r="BTX46" s="29"/>
      <c r="BTY46" s="29"/>
      <c r="BTZ46" s="29"/>
      <c r="BUA46" s="29"/>
      <c r="BUB46" s="29"/>
      <c r="BUC46" s="29"/>
      <c r="BUD46" s="29"/>
      <c r="BUE46" s="29"/>
      <c r="BUF46" s="29"/>
      <c r="BUG46" s="29"/>
      <c r="BUH46" s="29"/>
      <c r="BUI46" s="29"/>
      <c r="BUJ46" s="29"/>
      <c r="BUK46" s="29"/>
      <c r="BUL46" s="29"/>
      <c r="BUM46" s="29"/>
      <c r="BUN46" s="29"/>
      <c r="BUO46" s="29"/>
      <c r="BUP46" s="29"/>
      <c r="BUQ46" s="29"/>
      <c r="BUR46" s="29"/>
      <c r="BUS46" s="29"/>
      <c r="BUT46" s="29"/>
      <c r="BUU46" s="29"/>
      <c r="BUV46" s="29"/>
      <c r="BUW46" s="29"/>
      <c r="BUX46" s="29"/>
      <c r="BUY46" s="29"/>
      <c r="BUZ46" s="29"/>
      <c r="BVA46" s="29"/>
      <c r="BVB46" s="29"/>
      <c r="BVC46" s="29"/>
      <c r="BVD46" s="29"/>
      <c r="BVE46" s="29"/>
      <c r="BVF46" s="29"/>
      <c r="BVG46" s="29"/>
      <c r="BVH46" s="29"/>
      <c r="BVI46" s="29"/>
      <c r="BVJ46" s="29"/>
      <c r="BVK46" s="29"/>
      <c r="BVL46" s="29"/>
      <c r="BVM46" s="29"/>
      <c r="BVN46" s="29"/>
      <c r="BVO46" s="29"/>
      <c r="BVP46" s="29"/>
      <c r="BVQ46" s="29"/>
      <c r="BVR46" s="29"/>
      <c r="BVS46" s="29"/>
      <c r="BVT46" s="29"/>
      <c r="BVU46" s="29"/>
      <c r="BVV46" s="29"/>
      <c r="BVW46" s="29"/>
      <c r="BVX46" s="29"/>
      <c r="BVY46" s="29"/>
      <c r="BVZ46" s="29"/>
      <c r="BWA46" s="29"/>
      <c r="BWB46" s="29"/>
      <c r="BWC46" s="29"/>
      <c r="BWD46" s="29"/>
      <c r="BWE46" s="29"/>
      <c r="BWF46" s="29"/>
      <c r="BWG46" s="29"/>
      <c r="BWH46" s="29"/>
      <c r="BWI46" s="29"/>
      <c r="BWJ46" s="29"/>
      <c r="BWK46" s="29"/>
      <c r="BWL46" s="29"/>
      <c r="BWM46" s="29"/>
      <c r="BWN46" s="29"/>
      <c r="BWO46" s="29"/>
      <c r="BWP46" s="29"/>
      <c r="BWQ46" s="29"/>
      <c r="BWR46" s="29"/>
      <c r="BWS46" s="29"/>
      <c r="BWT46" s="29"/>
      <c r="BWU46" s="29"/>
      <c r="BWV46" s="29"/>
      <c r="BWW46" s="29"/>
      <c r="BWX46" s="29"/>
      <c r="BWY46" s="29"/>
      <c r="BWZ46" s="29"/>
      <c r="BXA46" s="29"/>
      <c r="BXB46" s="29"/>
      <c r="BXC46" s="29"/>
      <c r="BXD46" s="29"/>
      <c r="BXE46" s="29"/>
      <c r="BXF46" s="29"/>
      <c r="BXG46" s="29"/>
      <c r="BXH46" s="29"/>
      <c r="BXI46" s="29"/>
      <c r="BXJ46" s="29"/>
      <c r="BXK46" s="29"/>
      <c r="BXL46" s="29"/>
      <c r="BXM46" s="29"/>
      <c r="BXN46" s="29"/>
      <c r="BXO46" s="29"/>
      <c r="BXP46" s="29"/>
      <c r="BXQ46" s="29"/>
      <c r="BXR46" s="29"/>
      <c r="BXS46" s="29"/>
      <c r="BXT46" s="29"/>
      <c r="BXU46" s="29"/>
      <c r="BXV46" s="29"/>
      <c r="BXW46" s="29"/>
      <c r="BXX46" s="29"/>
      <c r="BXY46" s="29"/>
      <c r="BXZ46" s="29"/>
      <c r="BYA46" s="29"/>
      <c r="BYB46" s="29"/>
      <c r="BYC46" s="29"/>
      <c r="BYD46" s="29"/>
      <c r="BYE46" s="29"/>
      <c r="BYF46" s="29"/>
      <c r="BYG46" s="29"/>
      <c r="BYH46" s="29"/>
      <c r="BYI46" s="29"/>
      <c r="BYJ46" s="29"/>
      <c r="BYK46" s="29"/>
      <c r="BYL46" s="29"/>
      <c r="BYM46" s="29"/>
      <c r="BYN46" s="29"/>
      <c r="BYO46" s="29"/>
      <c r="BYP46" s="29"/>
      <c r="BYQ46" s="29"/>
      <c r="BYR46" s="29"/>
      <c r="BYS46" s="29"/>
      <c r="BYT46" s="29"/>
      <c r="BYU46" s="29"/>
      <c r="BYV46" s="29"/>
      <c r="BYW46" s="29"/>
      <c r="BYX46" s="29"/>
      <c r="BYY46" s="29"/>
      <c r="BYZ46" s="29"/>
      <c r="BZA46" s="29"/>
      <c r="BZB46" s="29"/>
      <c r="BZC46" s="29"/>
      <c r="BZD46" s="29"/>
      <c r="BZE46" s="29"/>
      <c r="BZF46" s="29"/>
      <c r="BZG46" s="29"/>
      <c r="BZH46" s="29"/>
      <c r="BZI46" s="29"/>
      <c r="BZJ46" s="29"/>
      <c r="BZK46" s="29"/>
      <c r="BZL46" s="29"/>
      <c r="BZM46" s="29"/>
      <c r="BZN46" s="29"/>
      <c r="BZO46" s="29"/>
      <c r="BZP46" s="29"/>
      <c r="BZQ46" s="29"/>
      <c r="BZR46" s="29"/>
      <c r="BZS46" s="29"/>
      <c r="BZT46" s="29"/>
      <c r="BZU46" s="29"/>
      <c r="BZV46" s="29"/>
      <c r="BZW46" s="29"/>
      <c r="BZX46" s="29"/>
      <c r="BZY46" s="29"/>
      <c r="BZZ46" s="29"/>
      <c r="CAA46" s="29"/>
      <c r="CAB46" s="29"/>
      <c r="CAC46" s="29"/>
      <c r="CAD46" s="29"/>
      <c r="CAE46" s="29"/>
      <c r="CAF46" s="29"/>
      <c r="CAG46" s="29"/>
      <c r="CAH46" s="29"/>
      <c r="CAI46" s="29"/>
      <c r="CAJ46" s="29"/>
      <c r="CAK46" s="29"/>
      <c r="CAL46" s="29"/>
      <c r="CAM46" s="29"/>
      <c r="CAN46" s="29"/>
      <c r="CAO46" s="29"/>
      <c r="CAP46" s="29"/>
      <c r="CAQ46" s="29"/>
      <c r="CAR46" s="29"/>
      <c r="CAS46" s="29"/>
      <c r="CAT46" s="29"/>
      <c r="CAU46" s="29"/>
      <c r="CAV46" s="29"/>
      <c r="CAW46" s="29"/>
      <c r="CAX46" s="29"/>
      <c r="CAY46" s="29"/>
      <c r="CAZ46" s="29"/>
      <c r="CBA46" s="29"/>
      <c r="CBB46" s="29"/>
      <c r="CBC46" s="29"/>
      <c r="CBD46" s="29"/>
      <c r="CBE46" s="29"/>
      <c r="CBF46" s="29"/>
      <c r="CBG46" s="29"/>
      <c r="CBH46" s="29"/>
      <c r="CBI46" s="29"/>
      <c r="CBJ46" s="29"/>
      <c r="CBK46" s="29"/>
      <c r="CBL46" s="29"/>
      <c r="CBM46" s="29"/>
      <c r="CBN46" s="29"/>
      <c r="CBO46" s="29"/>
      <c r="CBP46" s="29"/>
      <c r="CBQ46" s="29"/>
      <c r="CBR46" s="29"/>
      <c r="CBS46" s="29"/>
      <c r="CBT46" s="29"/>
      <c r="CBU46" s="29"/>
      <c r="CBV46" s="29"/>
      <c r="CBW46" s="29"/>
      <c r="CBX46" s="29"/>
      <c r="CBY46" s="29"/>
      <c r="CBZ46" s="29"/>
      <c r="CCA46" s="29"/>
      <c r="CCB46" s="29"/>
      <c r="CCC46" s="29"/>
      <c r="CCD46" s="29"/>
      <c r="CCE46" s="29"/>
      <c r="CCF46" s="29"/>
      <c r="CCG46" s="29"/>
      <c r="CCH46" s="29"/>
      <c r="CCI46" s="29"/>
      <c r="CCJ46" s="29"/>
      <c r="CCK46" s="29"/>
      <c r="CCL46" s="29"/>
      <c r="CCM46" s="29"/>
      <c r="CCN46" s="29"/>
      <c r="CCO46" s="29"/>
      <c r="CCP46" s="29"/>
      <c r="CCQ46" s="29"/>
      <c r="CCR46" s="29"/>
      <c r="CCS46" s="29"/>
      <c r="CCT46" s="29"/>
      <c r="CCU46" s="29"/>
      <c r="CCV46" s="29"/>
      <c r="CCW46" s="29"/>
      <c r="CCX46" s="29"/>
      <c r="CCY46" s="29"/>
      <c r="CCZ46" s="29"/>
      <c r="CDA46" s="29"/>
      <c r="CDB46" s="29"/>
      <c r="CDC46" s="29"/>
      <c r="CDD46" s="29"/>
      <c r="CDE46" s="29"/>
      <c r="CDF46" s="29"/>
      <c r="CDG46" s="29"/>
      <c r="CDH46" s="29"/>
      <c r="CDI46" s="29"/>
      <c r="CDJ46" s="29"/>
      <c r="CDK46" s="29"/>
      <c r="CDL46" s="29"/>
      <c r="CDM46" s="29"/>
      <c r="CDN46" s="29"/>
      <c r="CDO46" s="29"/>
      <c r="CDP46" s="29"/>
      <c r="CDQ46" s="29"/>
      <c r="CDR46" s="29"/>
      <c r="CDS46" s="29"/>
      <c r="CDT46" s="29"/>
      <c r="CDU46" s="29"/>
      <c r="CDV46" s="29"/>
      <c r="CDW46" s="29"/>
      <c r="CDX46" s="29"/>
      <c r="CDY46" s="29"/>
      <c r="CDZ46" s="29"/>
      <c r="CEA46" s="29"/>
      <c r="CEB46" s="29"/>
      <c r="CEC46" s="29"/>
      <c r="CED46" s="29"/>
      <c r="CEE46" s="29"/>
      <c r="CEF46" s="29"/>
      <c r="CEG46" s="29"/>
      <c r="CEH46" s="29"/>
      <c r="CEI46" s="29"/>
      <c r="CEJ46" s="29"/>
      <c r="CEK46" s="29"/>
      <c r="CEL46" s="29"/>
      <c r="CEM46" s="29"/>
      <c r="CEN46" s="29"/>
      <c r="CEO46" s="29"/>
      <c r="CEP46" s="29"/>
      <c r="CEQ46" s="29"/>
      <c r="CER46" s="29"/>
      <c r="CES46" s="29"/>
      <c r="CET46" s="29"/>
      <c r="CEU46" s="29"/>
      <c r="CEV46" s="29"/>
      <c r="CEW46" s="29"/>
      <c r="CEX46" s="29"/>
      <c r="CEY46" s="29"/>
      <c r="CEZ46" s="29"/>
      <c r="CFA46" s="29"/>
      <c r="CFB46" s="29"/>
      <c r="CFC46" s="29"/>
      <c r="CFD46" s="29"/>
      <c r="CFE46" s="29"/>
      <c r="CFF46" s="29"/>
      <c r="CFG46" s="29"/>
      <c r="CFH46" s="29"/>
      <c r="CFI46" s="29"/>
      <c r="CFJ46" s="29"/>
      <c r="CFK46" s="29"/>
      <c r="CFL46" s="29"/>
      <c r="CFM46" s="29"/>
      <c r="CFN46" s="29"/>
      <c r="CFO46" s="29"/>
      <c r="CFP46" s="29"/>
      <c r="CFQ46" s="29"/>
      <c r="CFR46" s="29"/>
      <c r="CFS46" s="29"/>
      <c r="CFT46" s="29"/>
      <c r="CFU46" s="29"/>
      <c r="CFV46" s="29"/>
      <c r="CFW46" s="29"/>
      <c r="CFX46" s="29"/>
      <c r="CFY46" s="29"/>
      <c r="CFZ46" s="29"/>
      <c r="CGA46" s="29"/>
      <c r="CGB46" s="29"/>
      <c r="CGC46" s="29"/>
      <c r="CGD46" s="29"/>
      <c r="CGE46" s="29"/>
      <c r="CGF46" s="29"/>
      <c r="CGG46" s="29"/>
      <c r="CGH46" s="29"/>
      <c r="CGI46" s="29"/>
      <c r="CGJ46" s="29"/>
      <c r="CGK46" s="29"/>
      <c r="CGL46" s="29"/>
      <c r="CGM46" s="29"/>
      <c r="CGN46" s="29"/>
      <c r="CGO46" s="29"/>
      <c r="CGP46" s="29"/>
      <c r="CGQ46" s="29"/>
      <c r="CGR46" s="29"/>
      <c r="CGS46" s="29"/>
      <c r="CGT46" s="29"/>
      <c r="CGU46" s="29"/>
      <c r="CGV46" s="29"/>
      <c r="CGW46" s="29"/>
      <c r="CGX46" s="29"/>
      <c r="CGY46" s="29"/>
      <c r="CGZ46" s="29"/>
      <c r="CHA46" s="29"/>
      <c r="CHB46" s="29"/>
      <c r="CHC46" s="29"/>
      <c r="CHD46" s="29"/>
      <c r="CHE46" s="29"/>
      <c r="CHF46" s="29"/>
      <c r="CHG46" s="29"/>
      <c r="CHH46" s="29"/>
      <c r="CHI46" s="29"/>
      <c r="CHJ46" s="29"/>
      <c r="CHK46" s="29"/>
      <c r="CHL46" s="29"/>
      <c r="CHM46" s="29"/>
      <c r="CHN46" s="29"/>
      <c r="CHO46" s="29"/>
      <c r="CHP46" s="29"/>
      <c r="CHQ46" s="29"/>
      <c r="CHR46" s="29"/>
      <c r="CHS46" s="29"/>
      <c r="CHT46" s="29"/>
      <c r="CHU46" s="29"/>
      <c r="CHV46" s="29"/>
      <c r="CHW46" s="29"/>
      <c r="CHX46" s="29"/>
      <c r="CHY46" s="29"/>
      <c r="CHZ46" s="29"/>
      <c r="CIA46" s="29"/>
      <c r="CIB46" s="29"/>
      <c r="CIC46" s="29"/>
      <c r="CID46" s="29"/>
      <c r="CIE46" s="29"/>
      <c r="CIF46" s="29"/>
      <c r="CIG46" s="29"/>
      <c r="CIH46" s="29"/>
      <c r="CII46" s="29"/>
      <c r="CIJ46" s="29"/>
      <c r="CIK46" s="29"/>
      <c r="CIL46" s="29"/>
      <c r="CIM46" s="29"/>
      <c r="CIN46" s="29"/>
      <c r="CIO46" s="29"/>
      <c r="CIP46" s="29"/>
      <c r="CIQ46" s="29"/>
      <c r="CIR46" s="29"/>
      <c r="CIS46" s="29"/>
      <c r="CIT46" s="29"/>
      <c r="CIU46" s="29"/>
      <c r="CIV46" s="29"/>
      <c r="CIW46" s="29"/>
      <c r="CIX46" s="29"/>
      <c r="CIY46" s="29"/>
      <c r="CIZ46" s="29"/>
      <c r="CJA46" s="29"/>
      <c r="CJB46" s="29"/>
      <c r="CJC46" s="29"/>
      <c r="CJD46" s="29"/>
      <c r="CJE46" s="29"/>
      <c r="CJF46" s="29"/>
      <c r="CJG46" s="29"/>
      <c r="CJH46" s="29"/>
      <c r="CJI46" s="29"/>
      <c r="CJJ46" s="29"/>
      <c r="CJK46" s="29"/>
      <c r="CJL46" s="29"/>
      <c r="CJM46" s="29"/>
      <c r="CJN46" s="29"/>
      <c r="CJO46" s="29"/>
      <c r="CJP46" s="29"/>
      <c r="CJQ46" s="29"/>
      <c r="CJR46" s="29"/>
      <c r="CJS46" s="29"/>
      <c r="CJT46" s="29"/>
      <c r="CJU46" s="29"/>
      <c r="CJV46" s="29"/>
      <c r="CJW46" s="29"/>
      <c r="CJX46" s="29"/>
      <c r="CJY46" s="29"/>
      <c r="CJZ46" s="29"/>
      <c r="CKA46" s="29"/>
      <c r="CKB46" s="29"/>
      <c r="CKC46" s="29"/>
      <c r="CKD46" s="29"/>
      <c r="CKE46" s="29"/>
      <c r="CKF46" s="29"/>
      <c r="CKG46" s="29"/>
      <c r="CKH46" s="29"/>
      <c r="CKI46" s="29"/>
      <c r="CKJ46" s="29"/>
      <c r="CKK46" s="29"/>
      <c r="CKL46" s="29"/>
      <c r="CKM46" s="29"/>
      <c r="CKN46" s="29"/>
      <c r="CKO46" s="29"/>
      <c r="CKP46" s="29"/>
      <c r="CKQ46" s="29"/>
      <c r="CKR46" s="29"/>
      <c r="CKS46" s="29"/>
      <c r="CKT46" s="29"/>
      <c r="CKU46" s="29"/>
      <c r="CKV46" s="29"/>
      <c r="CKW46" s="29"/>
      <c r="CKX46" s="29"/>
      <c r="CKY46" s="29"/>
      <c r="CKZ46" s="29"/>
      <c r="CLA46" s="29"/>
      <c r="CLB46" s="29"/>
      <c r="CLC46" s="29"/>
      <c r="CLD46" s="29"/>
      <c r="CLE46" s="29"/>
      <c r="CLF46" s="29"/>
      <c r="CLG46" s="29"/>
      <c r="CLH46" s="29"/>
      <c r="CLI46" s="29"/>
      <c r="CLJ46" s="29"/>
      <c r="CLK46" s="29"/>
      <c r="CLL46" s="29"/>
      <c r="CLM46" s="29"/>
      <c r="CLN46" s="29"/>
      <c r="CLO46" s="29"/>
      <c r="CLP46" s="29"/>
      <c r="CLQ46" s="29"/>
      <c r="CLR46" s="29"/>
      <c r="CLS46" s="29"/>
      <c r="CLT46" s="29"/>
      <c r="CLU46" s="29"/>
      <c r="CLV46" s="29"/>
      <c r="CLW46" s="29"/>
      <c r="CLX46" s="29"/>
      <c r="CLY46" s="29"/>
      <c r="CLZ46" s="29"/>
      <c r="CMA46" s="29"/>
      <c r="CMB46" s="29"/>
      <c r="CMC46" s="29"/>
      <c r="CMD46" s="29"/>
      <c r="CME46" s="29"/>
      <c r="CMF46" s="29"/>
      <c r="CMG46" s="29"/>
      <c r="CMH46" s="29"/>
      <c r="CMI46" s="29"/>
      <c r="CMJ46" s="29"/>
      <c r="CMK46" s="29"/>
      <c r="CML46" s="29"/>
      <c r="CMM46" s="29"/>
      <c r="CMN46" s="29"/>
      <c r="CMO46" s="29"/>
      <c r="CMP46" s="29"/>
      <c r="CMQ46" s="29"/>
      <c r="CMR46" s="29"/>
      <c r="CMS46" s="29"/>
      <c r="CMT46" s="29"/>
      <c r="CMU46" s="29"/>
      <c r="CMV46" s="29"/>
      <c r="CMW46" s="29"/>
      <c r="CMX46" s="29"/>
      <c r="CMY46" s="29"/>
      <c r="CMZ46" s="29"/>
      <c r="CNA46" s="29"/>
      <c r="CNB46" s="29"/>
      <c r="CNC46" s="29"/>
      <c r="CND46" s="29"/>
      <c r="CNE46" s="29"/>
      <c r="CNF46" s="29"/>
      <c r="CNG46" s="29"/>
      <c r="CNH46" s="29"/>
      <c r="CNI46" s="29"/>
      <c r="CNJ46" s="29"/>
      <c r="CNK46" s="29"/>
      <c r="CNL46" s="29"/>
      <c r="CNM46" s="29"/>
      <c r="CNN46" s="29"/>
      <c r="CNO46" s="29"/>
      <c r="CNP46" s="29"/>
      <c r="CNQ46" s="29"/>
      <c r="CNR46" s="29"/>
      <c r="CNS46" s="29"/>
      <c r="CNT46" s="29"/>
      <c r="CNU46" s="29"/>
      <c r="CNV46" s="29"/>
      <c r="CNW46" s="29"/>
      <c r="CNX46" s="29"/>
      <c r="CNY46" s="29"/>
      <c r="CNZ46" s="29"/>
      <c r="COA46" s="29"/>
      <c r="COB46" s="29"/>
      <c r="COC46" s="29"/>
      <c r="COD46" s="29"/>
      <c r="COE46" s="29"/>
      <c r="COF46" s="29"/>
      <c r="COG46" s="29"/>
      <c r="COH46" s="29"/>
      <c r="COI46" s="29"/>
      <c r="COJ46" s="29"/>
      <c r="COK46" s="29"/>
      <c r="COL46" s="29"/>
      <c r="COM46" s="29"/>
      <c r="CON46" s="29"/>
      <c r="COO46" s="29"/>
      <c r="COP46" s="29"/>
      <c r="COQ46" s="29"/>
      <c r="COR46" s="29"/>
      <c r="COS46" s="29"/>
      <c r="COT46" s="29"/>
      <c r="COU46" s="29"/>
      <c r="COV46" s="29"/>
      <c r="COW46" s="29"/>
      <c r="COX46" s="29"/>
      <c r="COY46" s="29"/>
      <c r="COZ46" s="29"/>
      <c r="CPA46" s="29"/>
      <c r="CPB46" s="29"/>
      <c r="CPC46" s="29"/>
      <c r="CPD46" s="29"/>
      <c r="CPE46" s="29"/>
      <c r="CPF46" s="29"/>
      <c r="CPG46" s="29"/>
      <c r="CPH46" s="29"/>
      <c r="CPI46" s="29"/>
      <c r="CPJ46" s="29"/>
      <c r="CPK46" s="29"/>
      <c r="CPL46" s="29"/>
      <c r="CPM46" s="29"/>
      <c r="CPN46" s="29"/>
      <c r="CPO46" s="29"/>
      <c r="CPP46" s="29"/>
      <c r="CPQ46" s="29"/>
      <c r="CPR46" s="29"/>
      <c r="CPS46" s="29"/>
      <c r="CPT46" s="29"/>
      <c r="CPU46" s="29"/>
      <c r="CPV46" s="29"/>
      <c r="CPW46" s="29"/>
      <c r="CPX46" s="29"/>
      <c r="CPY46" s="29"/>
      <c r="CPZ46" s="29"/>
      <c r="CQA46" s="29"/>
      <c r="CQB46" s="29"/>
      <c r="CQC46" s="29"/>
      <c r="CQD46" s="29"/>
      <c r="CQE46" s="29"/>
      <c r="CQF46" s="29"/>
      <c r="CQG46" s="29"/>
      <c r="CQH46" s="29"/>
      <c r="CQI46" s="29"/>
      <c r="CQJ46" s="29"/>
      <c r="CQK46" s="29"/>
      <c r="CQL46" s="29"/>
      <c r="CQM46" s="29"/>
      <c r="CQN46" s="29"/>
      <c r="CQO46" s="29"/>
      <c r="CQP46" s="29"/>
      <c r="CQQ46" s="29"/>
      <c r="CQR46" s="29"/>
      <c r="CQS46" s="29"/>
      <c r="CQT46" s="29"/>
      <c r="CQU46" s="29"/>
      <c r="CQV46" s="29"/>
      <c r="CQW46" s="29"/>
      <c r="CQX46" s="29"/>
      <c r="CQY46" s="29"/>
      <c r="CQZ46" s="29"/>
      <c r="CRA46" s="29"/>
      <c r="CRB46" s="29"/>
      <c r="CRC46" s="29"/>
      <c r="CRD46" s="29"/>
      <c r="CRE46" s="29"/>
      <c r="CRF46" s="29"/>
      <c r="CRG46" s="29"/>
      <c r="CRH46" s="29"/>
      <c r="CRI46" s="29"/>
      <c r="CRJ46" s="29"/>
      <c r="CRK46" s="29"/>
      <c r="CRL46" s="29"/>
      <c r="CRM46" s="29"/>
      <c r="CRN46" s="29"/>
      <c r="CRO46" s="29"/>
      <c r="CRP46" s="29"/>
      <c r="CRQ46" s="29"/>
      <c r="CRR46" s="29"/>
      <c r="CRS46" s="29"/>
      <c r="CRT46" s="29"/>
      <c r="CRU46" s="29"/>
      <c r="CRV46" s="29"/>
      <c r="CRW46" s="29"/>
      <c r="CRX46" s="29"/>
      <c r="CRY46" s="29"/>
      <c r="CRZ46" s="29"/>
      <c r="CSA46" s="29"/>
      <c r="CSB46" s="29"/>
      <c r="CSC46" s="29"/>
      <c r="CSD46" s="29"/>
      <c r="CSE46" s="29"/>
      <c r="CSF46" s="29"/>
      <c r="CSG46" s="29"/>
      <c r="CSH46" s="29"/>
      <c r="CSI46" s="29"/>
      <c r="CSJ46" s="29"/>
      <c r="CSK46" s="29"/>
      <c r="CSL46" s="29"/>
      <c r="CSM46" s="29"/>
      <c r="CSN46" s="29"/>
      <c r="CSO46" s="29"/>
      <c r="CSP46" s="29"/>
      <c r="CSQ46" s="29"/>
      <c r="CSR46" s="29"/>
      <c r="CSS46" s="29"/>
      <c r="CST46" s="29"/>
      <c r="CSU46" s="29"/>
      <c r="CSV46" s="29"/>
      <c r="CSW46" s="29"/>
      <c r="CSX46" s="29"/>
      <c r="CSY46" s="29"/>
      <c r="CSZ46" s="29"/>
      <c r="CTA46" s="29"/>
      <c r="CTB46" s="29"/>
      <c r="CTC46" s="29"/>
      <c r="CTD46" s="29"/>
      <c r="CTE46" s="29"/>
      <c r="CTF46" s="29"/>
      <c r="CTG46" s="29"/>
      <c r="CTH46" s="29"/>
      <c r="CTI46" s="29"/>
      <c r="CTJ46" s="29"/>
      <c r="CTK46" s="29"/>
      <c r="CTL46" s="3"/>
      <c r="CTM46" s="3"/>
      <c r="CTN46" s="3"/>
    </row>
    <row r="47" s="8" customFormat="1" ht="105" hidden="1" customHeight="1" spans="1:2562 16308:16384">
      <c r="A47" s="30">
        <v>1</v>
      </c>
      <c r="B47" s="30" t="s">
        <v>220</v>
      </c>
      <c r="C47" s="36" t="s">
        <v>221</v>
      </c>
      <c r="D47" s="36" t="s">
        <v>222</v>
      </c>
      <c r="E47" s="53">
        <v>11000</v>
      </c>
      <c r="F47" s="35" t="s">
        <v>223</v>
      </c>
      <c r="G47" s="35">
        <v>3000</v>
      </c>
      <c r="H47" s="35">
        <v>1620</v>
      </c>
      <c r="I47" s="35"/>
      <c r="J47" s="35"/>
      <c r="K47" s="28">
        <f>J47/G47</f>
        <v>0</v>
      </c>
      <c r="L47" s="35" t="s">
        <v>224</v>
      </c>
      <c r="M47" s="35"/>
      <c r="N47" s="40"/>
      <c r="O47" s="36" t="s">
        <v>225</v>
      </c>
      <c r="P47" s="36" t="s">
        <v>27</v>
      </c>
      <c r="Q47" s="36"/>
      <c r="R47" s="54" t="s">
        <v>226</v>
      </c>
    </row>
    <row r="48" s="8" customFormat="1" ht="93" hidden="1" customHeight="1" spans="1:2562 16308:16384">
      <c r="A48" s="37">
        <v>2</v>
      </c>
      <c r="B48" s="30" t="s">
        <v>227</v>
      </c>
      <c r="C48" s="36" t="s">
        <v>221</v>
      </c>
      <c r="D48" s="36" t="s">
        <v>228</v>
      </c>
      <c r="E48" s="53">
        <v>15000</v>
      </c>
      <c r="F48" s="35" t="s">
        <v>223</v>
      </c>
      <c r="G48" s="53">
        <v>15000</v>
      </c>
      <c r="H48" s="53">
        <v>2520</v>
      </c>
      <c r="I48" s="53">
        <v>1946</v>
      </c>
      <c r="J48" s="53">
        <v>4466</v>
      </c>
      <c r="K48" s="28">
        <f>J48/G48</f>
        <v>0.297733333333333</v>
      </c>
      <c r="L48" s="53" t="s">
        <v>229</v>
      </c>
      <c r="M48" s="53" t="s">
        <v>230</v>
      </c>
      <c r="N48" s="40"/>
      <c r="O48" s="36" t="s">
        <v>231</v>
      </c>
      <c r="P48" s="36" t="s">
        <v>27</v>
      </c>
      <c r="Q48" s="36"/>
      <c r="R48" s="54" t="s">
        <v>232</v>
      </c>
    </row>
    <row r="49" s="9" customFormat="1" ht="115" hidden="1" customHeight="1" spans="1:1024 1025:2559">
      <c r="A49" s="30">
        <v>3</v>
      </c>
      <c r="B49" s="30" t="s">
        <v>233</v>
      </c>
      <c r="C49" s="30" t="s">
        <v>234</v>
      </c>
      <c r="D49" s="30" t="s">
        <v>235</v>
      </c>
      <c r="E49" s="35">
        <v>100000</v>
      </c>
      <c r="F49" s="35" t="s">
        <v>223</v>
      </c>
      <c r="G49" s="35">
        <v>2000</v>
      </c>
      <c r="H49" s="35">
        <v>950</v>
      </c>
      <c r="I49" s="35"/>
      <c r="J49" s="35"/>
      <c r="K49" s="28">
        <f>J49/G49</f>
        <v>0</v>
      </c>
      <c r="L49" s="35" t="s">
        <v>236</v>
      </c>
      <c r="M49" s="35"/>
      <c r="N49" s="55"/>
      <c r="O49" s="30" t="s">
        <v>237</v>
      </c>
      <c r="P49" s="30" t="s">
        <v>27</v>
      </c>
      <c r="Q49" s="30"/>
      <c r="R49" s="54" t="s">
        <v>238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  <c r="GP49" s="56"/>
      <c r="GQ49" s="56"/>
      <c r="GR49" s="56"/>
      <c r="GS49" s="56"/>
      <c r="GT49" s="56"/>
      <c r="GU49" s="56"/>
      <c r="GV49" s="56"/>
      <c r="GW49" s="56"/>
      <c r="GX49" s="56"/>
      <c r="GY49" s="56"/>
      <c r="GZ49" s="56"/>
      <c r="HA49" s="56"/>
      <c r="HB49" s="56"/>
      <c r="HC49" s="56"/>
      <c r="HD49" s="56"/>
      <c r="HE49" s="56"/>
      <c r="HF49" s="56"/>
      <c r="HG49" s="56"/>
      <c r="HH49" s="56"/>
      <c r="HI49" s="56"/>
      <c r="HJ49" s="56"/>
      <c r="HK49" s="56"/>
      <c r="HL49" s="56"/>
      <c r="HM49" s="56"/>
      <c r="HN49" s="56"/>
      <c r="HO49" s="56"/>
      <c r="HP49" s="56"/>
      <c r="HQ49" s="56"/>
      <c r="HR49" s="56"/>
      <c r="HS49" s="56"/>
      <c r="HT49" s="56"/>
      <c r="HU49" s="56"/>
      <c r="HV49" s="56"/>
      <c r="HW49" s="56"/>
      <c r="HX49" s="56"/>
      <c r="HY49" s="56"/>
      <c r="HZ49" s="56"/>
      <c r="IA49" s="56"/>
      <c r="IB49" s="56"/>
      <c r="IC49" s="56"/>
      <c r="ID49" s="56"/>
      <c r="IE49" s="56"/>
      <c r="IF49" s="56"/>
      <c r="IG49" s="56"/>
      <c r="IH49" s="56"/>
      <c r="II49" s="56"/>
      <c r="IJ49" s="56"/>
      <c r="IK49" s="56"/>
      <c r="IL49" s="56"/>
      <c r="IM49" s="56"/>
      <c r="IN49" s="56"/>
      <c r="IO49" s="56"/>
      <c r="IP49" s="56"/>
      <c r="IQ49" s="56"/>
      <c r="IR49" s="56"/>
      <c r="IS49" s="56"/>
      <c r="IT49" s="56"/>
      <c r="IU49" s="56"/>
      <c r="IV49" s="56"/>
      <c r="IW49" s="56"/>
      <c r="IX49" s="56"/>
      <c r="IY49" s="56"/>
      <c r="IZ49" s="56"/>
      <c r="JA49" s="56"/>
      <c r="JB49" s="56"/>
      <c r="JC49" s="56"/>
      <c r="JD49" s="56"/>
      <c r="JE49" s="56"/>
      <c r="JF49" s="56"/>
      <c r="JG49" s="56"/>
      <c r="JH49" s="56"/>
      <c r="JI49" s="56"/>
      <c r="JJ49" s="56"/>
      <c r="JK49" s="56"/>
      <c r="JL49" s="56"/>
      <c r="JM49" s="56"/>
      <c r="JN49" s="56"/>
      <c r="JO49" s="56"/>
      <c r="JP49" s="56"/>
      <c r="JQ49" s="56"/>
      <c r="JR49" s="56"/>
      <c r="JS49" s="56"/>
      <c r="JT49" s="56"/>
      <c r="JU49" s="56"/>
      <c r="JV49" s="56"/>
      <c r="JW49" s="56"/>
      <c r="JX49" s="56"/>
      <c r="JY49" s="56"/>
      <c r="JZ49" s="56"/>
      <c r="KA49" s="56"/>
      <c r="KB49" s="56"/>
      <c r="KC49" s="56"/>
      <c r="KD49" s="56"/>
      <c r="KE49" s="56"/>
      <c r="KF49" s="56"/>
      <c r="KG49" s="56"/>
      <c r="KH49" s="56"/>
      <c r="KI49" s="56"/>
      <c r="KJ49" s="56"/>
      <c r="KK49" s="56"/>
      <c r="KL49" s="56"/>
      <c r="KM49" s="56"/>
      <c r="KN49" s="56"/>
      <c r="KO49" s="56"/>
      <c r="KP49" s="56"/>
      <c r="KQ49" s="56"/>
      <c r="KR49" s="56"/>
      <c r="KS49" s="56"/>
      <c r="KT49" s="56"/>
      <c r="KU49" s="56"/>
      <c r="KV49" s="56"/>
      <c r="KW49" s="56"/>
      <c r="KX49" s="56"/>
      <c r="KY49" s="56"/>
      <c r="KZ49" s="56"/>
      <c r="LA49" s="56"/>
      <c r="LB49" s="56"/>
      <c r="LC49" s="56"/>
      <c r="LD49" s="56"/>
      <c r="LE49" s="56"/>
      <c r="LF49" s="56"/>
      <c r="LG49" s="56"/>
      <c r="LH49" s="56"/>
      <c r="LI49" s="56"/>
      <c r="LJ49" s="56"/>
      <c r="LK49" s="56"/>
      <c r="LL49" s="56"/>
      <c r="LM49" s="56"/>
      <c r="LN49" s="56"/>
      <c r="LO49" s="56"/>
      <c r="LP49" s="56"/>
      <c r="LQ49" s="56"/>
      <c r="LR49" s="56"/>
      <c r="LS49" s="56"/>
      <c r="LT49" s="56"/>
      <c r="LU49" s="56"/>
      <c r="LV49" s="56"/>
      <c r="LW49" s="56"/>
      <c r="LX49" s="56"/>
      <c r="LY49" s="56"/>
      <c r="LZ49" s="56"/>
      <c r="MA49" s="56"/>
      <c r="MB49" s="56"/>
      <c r="MC49" s="56"/>
      <c r="MD49" s="56"/>
      <c r="ME49" s="56"/>
      <c r="MF49" s="56"/>
      <c r="MG49" s="56"/>
      <c r="MH49" s="56"/>
      <c r="MI49" s="56"/>
      <c r="MJ49" s="56"/>
      <c r="MK49" s="56"/>
      <c r="ML49" s="56"/>
      <c r="MM49" s="56"/>
      <c r="MN49" s="56"/>
      <c r="MO49" s="56"/>
      <c r="MP49" s="56"/>
      <c r="MQ49" s="56"/>
      <c r="MR49" s="56"/>
      <c r="MS49" s="56"/>
      <c r="MT49" s="56"/>
      <c r="MU49" s="56"/>
      <c r="MV49" s="56"/>
      <c r="MW49" s="56"/>
      <c r="MX49" s="56"/>
      <c r="MY49" s="56"/>
      <c r="MZ49" s="56"/>
      <c r="NA49" s="56"/>
      <c r="NB49" s="56"/>
      <c r="NC49" s="56"/>
      <c r="ND49" s="56"/>
      <c r="NE49" s="56"/>
      <c r="NF49" s="56"/>
      <c r="NG49" s="56"/>
      <c r="NH49" s="56"/>
      <c r="NI49" s="56"/>
      <c r="NJ49" s="56"/>
      <c r="NK49" s="56"/>
      <c r="NL49" s="56"/>
      <c r="NM49" s="56"/>
      <c r="NN49" s="56"/>
      <c r="NO49" s="56"/>
      <c r="NP49" s="56"/>
      <c r="NQ49" s="56"/>
      <c r="NR49" s="56"/>
      <c r="NS49" s="56"/>
      <c r="NT49" s="56"/>
      <c r="NU49" s="56"/>
      <c r="NV49" s="56"/>
      <c r="NW49" s="56"/>
      <c r="NX49" s="56"/>
      <c r="NY49" s="56"/>
      <c r="NZ49" s="56"/>
      <c r="OA49" s="56"/>
      <c r="OB49" s="56"/>
      <c r="OC49" s="56"/>
      <c r="OD49" s="56"/>
      <c r="OE49" s="56"/>
      <c r="OF49" s="56"/>
      <c r="OG49" s="56"/>
      <c r="OH49" s="56"/>
      <c r="OI49" s="56"/>
      <c r="OJ49" s="56"/>
      <c r="OK49" s="56"/>
      <c r="OL49" s="56"/>
      <c r="OM49" s="56"/>
      <c r="ON49" s="56"/>
      <c r="OO49" s="56"/>
      <c r="OP49" s="56"/>
      <c r="OQ49" s="56"/>
      <c r="OR49" s="56"/>
      <c r="OS49" s="56"/>
      <c r="OT49" s="56"/>
      <c r="OU49" s="56"/>
      <c r="OV49" s="56"/>
      <c r="OW49" s="56"/>
      <c r="OX49" s="56"/>
      <c r="OY49" s="56"/>
      <c r="OZ49" s="56"/>
      <c r="PA49" s="56"/>
      <c r="PB49" s="56"/>
      <c r="PC49" s="56"/>
      <c r="PD49" s="56"/>
      <c r="PE49" s="56"/>
      <c r="PF49" s="56"/>
      <c r="PG49" s="56"/>
      <c r="PH49" s="56"/>
      <c r="PI49" s="56"/>
      <c r="PJ49" s="56"/>
      <c r="PK49" s="56"/>
      <c r="PL49" s="56"/>
      <c r="PM49" s="56"/>
      <c r="PN49" s="56"/>
      <c r="PO49" s="56"/>
      <c r="PP49" s="56"/>
      <c r="PQ49" s="56"/>
      <c r="PR49" s="56"/>
      <c r="PS49" s="56"/>
      <c r="PT49" s="56"/>
      <c r="PU49" s="56"/>
      <c r="PV49" s="56"/>
      <c r="PW49" s="56"/>
      <c r="PX49" s="56"/>
      <c r="PY49" s="56"/>
      <c r="PZ49" s="56"/>
      <c r="QA49" s="56"/>
      <c r="QB49" s="56"/>
      <c r="QC49" s="56"/>
      <c r="QD49" s="56"/>
      <c r="QE49" s="56"/>
      <c r="QF49" s="56"/>
      <c r="QG49" s="56"/>
      <c r="QH49" s="56"/>
      <c r="QI49" s="56"/>
      <c r="QJ49" s="56"/>
      <c r="QK49" s="56"/>
      <c r="QL49" s="56"/>
      <c r="QM49" s="56"/>
      <c r="QN49" s="56"/>
      <c r="QO49" s="56"/>
      <c r="QP49" s="56"/>
      <c r="QQ49" s="56"/>
      <c r="QR49" s="56"/>
      <c r="QS49" s="56"/>
      <c r="QT49" s="56"/>
      <c r="QU49" s="56"/>
      <c r="QV49" s="56"/>
      <c r="QW49" s="56"/>
      <c r="QX49" s="56"/>
      <c r="QY49" s="56"/>
      <c r="QZ49" s="56"/>
      <c r="RA49" s="56"/>
      <c r="RB49" s="56"/>
      <c r="RC49" s="56"/>
      <c r="RD49" s="56"/>
      <c r="RE49" s="56"/>
      <c r="RF49" s="56"/>
      <c r="RG49" s="56"/>
      <c r="RH49" s="56"/>
      <c r="RI49" s="56"/>
      <c r="RJ49" s="56"/>
      <c r="RK49" s="56"/>
      <c r="RL49" s="56"/>
      <c r="RM49" s="56"/>
      <c r="RN49" s="56"/>
      <c r="RO49" s="56"/>
      <c r="RP49" s="56"/>
      <c r="RQ49" s="56"/>
      <c r="RR49" s="56"/>
      <c r="RS49" s="56"/>
      <c r="RT49" s="56"/>
      <c r="RU49" s="56"/>
      <c r="RV49" s="56"/>
      <c r="RW49" s="56"/>
      <c r="RX49" s="56"/>
      <c r="RY49" s="56"/>
      <c r="RZ49" s="56"/>
      <c r="SA49" s="56"/>
      <c r="SB49" s="56"/>
      <c r="SC49" s="56"/>
      <c r="SD49" s="56"/>
      <c r="SE49" s="56"/>
      <c r="SF49" s="56"/>
      <c r="SG49" s="56"/>
      <c r="SH49" s="56"/>
      <c r="SI49" s="56"/>
      <c r="SJ49" s="56"/>
      <c r="SK49" s="56"/>
      <c r="SL49" s="56"/>
      <c r="SM49" s="56"/>
      <c r="SN49" s="56"/>
      <c r="SO49" s="56"/>
      <c r="SP49" s="56"/>
      <c r="SQ49" s="56"/>
      <c r="SR49" s="56"/>
      <c r="SS49" s="56"/>
      <c r="ST49" s="56"/>
      <c r="SU49" s="56"/>
      <c r="SV49" s="56"/>
      <c r="SW49" s="56"/>
      <c r="SX49" s="56"/>
      <c r="SY49" s="56"/>
      <c r="SZ49" s="56"/>
      <c r="TA49" s="56"/>
      <c r="TB49" s="56"/>
      <c r="TC49" s="56"/>
      <c r="TD49" s="56"/>
      <c r="TE49" s="56"/>
      <c r="TF49" s="56"/>
      <c r="TG49" s="56"/>
      <c r="TH49" s="56"/>
      <c r="TI49" s="56"/>
      <c r="TJ49" s="56"/>
      <c r="TK49" s="56"/>
      <c r="TL49" s="56"/>
      <c r="TM49" s="56"/>
      <c r="TN49" s="56"/>
      <c r="TO49" s="56"/>
      <c r="TP49" s="56"/>
      <c r="TQ49" s="56"/>
      <c r="TR49" s="56"/>
      <c r="TS49" s="56"/>
      <c r="TT49" s="56"/>
      <c r="TU49" s="56"/>
      <c r="TV49" s="56"/>
      <c r="TW49" s="56"/>
      <c r="TX49" s="56"/>
      <c r="TY49" s="56"/>
      <c r="TZ49" s="56"/>
      <c r="UA49" s="56"/>
      <c r="UB49" s="56"/>
      <c r="UC49" s="56"/>
      <c r="UD49" s="56"/>
      <c r="UE49" s="56"/>
      <c r="UF49" s="56"/>
      <c r="UG49" s="56"/>
      <c r="UH49" s="56"/>
      <c r="UI49" s="56"/>
      <c r="UJ49" s="56"/>
      <c r="UK49" s="56"/>
      <c r="UL49" s="56"/>
      <c r="UM49" s="56"/>
      <c r="UN49" s="56"/>
      <c r="UO49" s="56"/>
      <c r="UP49" s="56"/>
      <c r="UQ49" s="56"/>
      <c r="UR49" s="56"/>
      <c r="US49" s="56"/>
      <c r="UT49" s="56"/>
      <c r="UU49" s="56"/>
      <c r="UV49" s="56"/>
      <c r="UW49" s="56"/>
      <c r="UX49" s="56"/>
      <c r="UY49" s="56"/>
      <c r="UZ49" s="56"/>
      <c r="VA49" s="56"/>
      <c r="VB49" s="56"/>
      <c r="VC49" s="56"/>
      <c r="VD49" s="56"/>
      <c r="VE49" s="56"/>
      <c r="VF49" s="56"/>
      <c r="VG49" s="56"/>
      <c r="VH49" s="56"/>
      <c r="VI49" s="56"/>
      <c r="VJ49" s="56"/>
      <c r="VK49" s="56"/>
      <c r="VL49" s="56"/>
      <c r="VM49" s="56"/>
      <c r="VN49" s="56"/>
      <c r="VO49" s="56"/>
      <c r="VP49" s="56"/>
      <c r="VQ49" s="56"/>
      <c r="VR49" s="56"/>
      <c r="VS49" s="56"/>
      <c r="VT49" s="56"/>
      <c r="VU49" s="56"/>
      <c r="VV49" s="56"/>
      <c r="VW49" s="56"/>
      <c r="VX49" s="56"/>
      <c r="VY49" s="56"/>
      <c r="VZ49" s="56"/>
      <c r="WA49" s="56"/>
      <c r="WB49" s="56"/>
      <c r="WC49" s="56"/>
      <c r="WD49" s="56"/>
      <c r="WE49" s="56"/>
      <c r="WF49" s="56"/>
      <c r="WG49" s="56"/>
      <c r="WH49" s="56"/>
      <c r="WI49" s="56"/>
      <c r="WJ49" s="56"/>
      <c r="WK49" s="56"/>
      <c r="WL49" s="56"/>
      <c r="WM49" s="56"/>
      <c r="WN49" s="56"/>
      <c r="WO49" s="56"/>
      <c r="WP49" s="56"/>
      <c r="WQ49" s="56"/>
      <c r="WR49" s="56"/>
      <c r="WS49" s="56"/>
      <c r="WT49" s="56"/>
      <c r="WU49" s="56"/>
      <c r="WV49" s="56"/>
      <c r="WW49" s="56"/>
      <c r="WX49" s="56"/>
      <c r="WY49" s="56"/>
      <c r="WZ49" s="56"/>
      <c r="XA49" s="56"/>
      <c r="XB49" s="56"/>
      <c r="XC49" s="56"/>
      <c r="XD49" s="56"/>
      <c r="XE49" s="56"/>
      <c r="XF49" s="56"/>
      <c r="XG49" s="56"/>
      <c r="XH49" s="56"/>
      <c r="XI49" s="56"/>
      <c r="XJ49" s="56"/>
      <c r="XK49" s="56"/>
      <c r="XL49" s="56"/>
      <c r="XM49" s="56"/>
      <c r="XN49" s="56"/>
      <c r="XO49" s="56"/>
      <c r="XP49" s="56"/>
      <c r="XQ49" s="56"/>
      <c r="XR49" s="56"/>
      <c r="XS49" s="56"/>
      <c r="XT49" s="56"/>
      <c r="XU49" s="56"/>
      <c r="XV49" s="56"/>
      <c r="XW49" s="56"/>
      <c r="XX49" s="56"/>
      <c r="XY49" s="56"/>
      <c r="XZ49" s="56"/>
      <c r="YA49" s="56"/>
      <c r="YB49" s="56"/>
      <c r="YC49" s="56"/>
      <c r="YD49" s="56"/>
      <c r="YE49" s="56"/>
      <c r="YF49" s="56"/>
      <c r="YG49" s="56"/>
      <c r="YH49" s="56"/>
      <c r="YI49" s="56"/>
      <c r="YJ49" s="56"/>
      <c r="YK49" s="56"/>
      <c r="YL49" s="56"/>
      <c r="YM49" s="56"/>
      <c r="YN49" s="56"/>
      <c r="YO49" s="56"/>
      <c r="YP49" s="56"/>
      <c r="YQ49" s="56"/>
      <c r="YR49" s="56"/>
      <c r="YS49" s="56"/>
      <c r="YT49" s="56"/>
      <c r="YU49" s="56"/>
      <c r="YV49" s="56"/>
      <c r="YW49" s="56"/>
      <c r="YX49" s="56"/>
      <c r="YY49" s="56"/>
      <c r="YZ49" s="56"/>
      <c r="ZA49" s="56"/>
      <c r="ZB49" s="56"/>
      <c r="ZC49" s="56"/>
      <c r="ZD49" s="56"/>
      <c r="ZE49" s="56"/>
      <c r="ZF49" s="56"/>
      <c r="ZG49" s="56"/>
      <c r="ZH49" s="56"/>
      <c r="ZI49" s="56"/>
      <c r="ZJ49" s="56"/>
      <c r="ZK49" s="56"/>
      <c r="ZL49" s="56"/>
      <c r="ZM49" s="56"/>
      <c r="ZN49" s="56"/>
      <c r="ZO49" s="56"/>
      <c r="ZP49" s="56"/>
      <c r="ZQ49" s="56"/>
      <c r="ZR49" s="56"/>
      <c r="ZS49" s="56"/>
      <c r="ZT49" s="56"/>
      <c r="ZU49" s="56"/>
      <c r="ZV49" s="56"/>
      <c r="ZW49" s="56"/>
      <c r="ZX49" s="56"/>
      <c r="ZY49" s="56"/>
      <c r="ZZ49" s="56"/>
      <c r="AAA49" s="56"/>
      <c r="AAB49" s="56"/>
      <c r="AAC49" s="56"/>
      <c r="AAD49" s="56"/>
      <c r="AAE49" s="56"/>
      <c r="AAF49" s="56"/>
      <c r="AAG49" s="56"/>
      <c r="AAH49" s="56"/>
      <c r="AAI49" s="56"/>
      <c r="AAJ49" s="56"/>
      <c r="AAK49" s="56"/>
      <c r="AAL49" s="56"/>
      <c r="AAM49" s="56"/>
      <c r="AAN49" s="56"/>
      <c r="AAO49" s="56"/>
      <c r="AAP49" s="56"/>
      <c r="AAQ49" s="56"/>
      <c r="AAR49" s="56"/>
      <c r="AAS49" s="56"/>
      <c r="AAT49" s="56"/>
      <c r="AAU49" s="56"/>
      <c r="AAV49" s="56"/>
      <c r="AAW49" s="56"/>
      <c r="AAX49" s="56"/>
      <c r="AAY49" s="56"/>
      <c r="AAZ49" s="56"/>
      <c r="ABA49" s="56"/>
      <c r="ABB49" s="56"/>
      <c r="ABC49" s="56"/>
      <c r="ABD49" s="56"/>
      <c r="ABE49" s="56"/>
      <c r="ABF49" s="56"/>
      <c r="ABG49" s="56"/>
      <c r="ABH49" s="56"/>
      <c r="ABI49" s="56"/>
      <c r="ABJ49" s="56"/>
      <c r="ABK49" s="56"/>
      <c r="ABL49" s="56"/>
      <c r="ABM49" s="56"/>
      <c r="ABN49" s="56"/>
      <c r="ABO49" s="56"/>
      <c r="ABP49" s="56"/>
      <c r="ABQ49" s="56"/>
      <c r="ABR49" s="56"/>
      <c r="ABS49" s="56"/>
      <c r="ABT49" s="56"/>
      <c r="ABU49" s="56"/>
      <c r="ABV49" s="56"/>
      <c r="ABW49" s="56"/>
      <c r="ABX49" s="56"/>
      <c r="ABY49" s="56"/>
      <c r="ABZ49" s="56"/>
      <c r="ACA49" s="56"/>
      <c r="ACB49" s="56"/>
      <c r="ACC49" s="56"/>
      <c r="ACD49" s="56"/>
      <c r="ACE49" s="56"/>
      <c r="ACF49" s="56"/>
      <c r="ACG49" s="56"/>
      <c r="ACH49" s="56"/>
      <c r="ACI49" s="56"/>
      <c r="ACJ49" s="56"/>
      <c r="ACK49" s="56"/>
      <c r="ACL49" s="56"/>
      <c r="ACM49" s="56"/>
      <c r="ACN49" s="56"/>
      <c r="ACO49" s="56"/>
      <c r="ACP49" s="56"/>
      <c r="ACQ49" s="56"/>
      <c r="ACR49" s="56"/>
      <c r="ACS49" s="56"/>
      <c r="ACT49" s="56"/>
      <c r="ACU49" s="56"/>
      <c r="ACV49" s="56"/>
      <c r="ACW49" s="56"/>
      <c r="ACX49" s="56"/>
      <c r="ACY49" s="56"/>
      <c r="ACZ49" s="56"/>
      <c r="ADA49" s="56"/>
      <c r="ADB49" s="56"/>
      <c r="ADC49" s="56"/>
      <c r="ADD49" s="56"/>
      <c r="ADE49" s="56"/>
      <c r="ADF49" s="56"/>
      <c r="ADG49" s="56"/>
      <c r="ADH49" s="56"/>
      <c r="ADI49" s="56"/>
      <c r="ADJ49" s="56"/>
      <c r="ADK49" s="56"/>
      <c r="ADL49" s="56"/>
      <c r="ADM49" s="56"/>
      <c r="ADN49" s="56"/>
      <c r="ADO49" s="56"/>
      <c r="ADP49" s="56"/>
      <c r="ADQ49" s="56"/>
      <c r="ADR49" s="56"/>
      <c r="ADS49" s="56"/>
      <c r="ADT49" s="56"/>
      <c r="ADU49" s="56"/>
      <c r="ADV49" s="56"/>
      <c r="ADW49" s="56"/>
      <c r="ADX49" s="56"/>
      <c r="ADY49" s="56"/>
      <c r="ADZ49" s="56"/>
      <c r="AEA49" s="56"/>
      <c r="AEB49" s="56"/>
      <c r="AEC49" s="56"/>
      <c r="AED49" s="56"/>
      <c r="AEE49" s="56"/>
      <c r="AEF49" s="56"/>
      <c r="AEG49" s="56"/>
      <c r="AEH49" s="56"/>
      <c r="AEI49" s="56"/>
      <c r="AEJ49" s="56"/>
      <c r="AEK49" s="56"/>
      <c r="AEL49" s="56"/>
      <c r="AEM49" s="56"/>
      <c r="AEN49" s="56"/>
      <c r="AEO49" s="56"/>
      <c r="AEP49" s="56"/>
      <c r="AEQ49" s="56"/>
      <c r="AER49" s="56"/>
      <c r="AES49" s="56"/>
      <c r="AET49" s="56"/>
      <c r="AEU49" s="56"/>
      <c r="AEV49" s="56"/>
      <c r="AEW49" s="56"/>
      <c r="AEX49" s="56"/>
      <c r="AEY49" s="56"/>
      <c r="AEZ49" s="56"/>
      <c r="AFA49" s="56"/>
      <c r="AFB49" s="56"/>
      <c r="AFC49" s="56"/>
      <c r="AFD49" s="56"/>
      <c r="AFE49" s="56"/>
      <c r="AFF49" s="56"/>
      <c r="AFG49" s="56"/>
      <c r="AFH49" s="56"/>
      <c r="AFI49" s="56"/>
      <c r="AFJ49" s="56"/>
      <c r="AFK49" s="56"/>
      <c r="AFL49" s="56"/>
      <c r="AFM49" s="56"/>
      <c r="AFN49" s="56"/>
      <c r="AFO49" s="56"/>
      <c r="AFP49" s="56"/>
      <c r="AFQ49" s="56"/>
      <c r="AFR49" s="56"/>
      <c r="AFS49" s="56"/>
      <c r="AFT49" s="56"/>
      <c r="AFU49" s="56"/>
      <c r="AFV49" s="56"/>
      <c r="AFW49" s="56"/>
      <c r="AFX49" s="56"/>
      <c r="AFY49" s="56"/>
      <c r="AFZ49" s="56"/>
      <c r="AGA49" s="56"/>
      <c r="AGB49" s="56"/>
      <c r="AGC49" s="56"/>
      <c r="AGD49" s="56"/>
      <c r="AGE49" s="56"/>
      <c r="AGF49" s="56"/>
      <c r="AGG49" s="56"/>
      <c r="AGH49" s="56"/>
      <c r="AGI49" s="56"/>
      <c r="AGJ49" s="56"/>
      <c r="AGK49" s="56"/>
      <c r="AGL49" s="56"/>
      <c r="AGM49" s="56"/>
      <c r="AGN49" s="56"/>
      <c r="AGO49" s="56"/>
      <c r="AGP49" s="56"/>
      <c r="AGQ49" s="56"/>
      <c r="AGR49" s="56"/>
      <c r="AGS49" s="56"/>
      <c r="AGT49" s="56"/>
      <c r="AGU49" s="56"/>
      <c r="AGV49" s="56"/>
      <c r="AGW49" s="56"/>
      <c r="AGX49" s="56"/>
      <c r="AGY49" s="56"/>
      <c r="AGZ49" s="56"/>
      <c r="AHA49" s="56"/>
      <c r="AHB49" s="56"/>
      <c r="AHC49" s="56"/>
      <c r="AHD49" s="56"/>
      <c r="AHE49" s="56"/>
      <c r="AHF49" s="56"/>
      <c r="AHG49" s="56"/>
      <c r="AHH49" s="56"/>
      <c r="AHI49" s="56"/>
      <c r="AHJ49" s="56"/>
      <c r="AHK49" s="56"/>
      <c r="AHL49" s="56"/>
      <c r="AHM49" s="56"/>
      <c r="AHN49" s="56"/>
      <c r="AHO49" s="56"/>
      <c r="AHP49" s="56"/>
      <c r="AHQ49" s="56"/>
      <c r="AHR49" s="56"/>
      <c r="AHS49" s="56"/>
      <c r="AHT49" s="56"/>
      <c r="AHU49" s="56"/>
      <c r="AHV49" s="56"/>
      <c r="AHW49" s="56"/>
      <c r="AHX49" s="56"/>
      <c r="AHY49" s="56"/>
      <c r="AHZ49" s="56"/>
      <c r="AIA49" s="56"/>
      <c r="AIB49" s="56"/>
      <c r="AIC49" s="56"/>
      <c r="AID49" s="56"/>
      <c r="AIE49" s="56"/>
      <c r="AIF49" s="56"/>
      <c r="AIG49" s="56"/>
      <c r="AIH49" s="56"/>
      <c r="AII49" s="56"/>
      <c r="AIJ49" s="56"/>
      <c r="AIK49" s="56"/>
      <c r="AIL49" s="56"/>
      <c r="AIM49" s="56"/>
      <c r="AIN49" s="56"/>
      <c r="AIO49" s="56"/>
      <c r="AIP49" s="56"/>
      <c r="AIQ49" s="56"/>
      <c r="AIR49" s="56"/>
      <c r="AIS49" s="56"/>
      <c r="AIT49" s="56"/>
      <c r="AIU49" s="56"/>
      <c r="AIV49" s="56"/>
      <c r="AIW49" s="56"/>
      <c r="AIX49" s="56"/>
      <c r="AIY49" s="56"/>
      <c r="AIZ49" s="56"/>
      <c r="AJA49" s="56"/>
      <c r="AJB49" s="56"/>
      <c r="AJC49" s="56"/>
      <c r="AJD49" s="56"/>
      <c r="AJE49" s="56"/>
      <c r="AJF49" s="56"/>
      <c r="AJG49" s="56"/>
      <c r="AJH49" s="56"/>
      <c r="AJI49" s="56"/>
      <c r="AJJ49" s="56"/>
      <c r="AJK49" s="56"/>
      <c r="AJL49" s="56"/>
      <c r="AJM49" s="56"/>
      <c r="AJN49" s="56"/>
      <c r="AJO49" s="56"/>
      <c r="AJP49" s="56"/>
      <c r="AJQ49" s="56"/>
      <c r="AJR49" s="56"/>
      <c r="AJS49" s="56"/>
      <c r="AJT49" s="56"/>
      <c r="AJU49" s="56"/>
      <c r="AJV49" s="56"/>
      <c r="AJW49" s="56"/>
      <c r="AJX49" s="56"/>
      <c r="AJY49" s="56"/>
      <c r="AJZ49" s="56"/>
      <c r="AKA49" s="56"/>
      <c r="AKB49" s="56"/>
      <c r="AKC49" s="56"/>
      <c r="AKD49" s="56"/>
      <c r="AKE49" s="56"/>
      <c r="AKF49" s="56"/>
      <c r="AKG49" s="56"/>
      <c r="AKH49" s="56"/>
      <c r="AKI49" s="56"/>
      <c r="AKJ49" s="56"/>
      <c r="AKK49" s="56"/>
      <c r="AKL49" s="56"/>
      <c r="AKM49" s="56"/>
      <c r="AKN49" s="56"/>
      <c r="AKO49" s="56"/>
      <c r="AKP49" s="56"/>
      <c r="AKQ49" s="56"/>
      <c r="AKR49" s="56"/>
      <c r="AKS49" s="56"/>
      <c r="AKT49" s="56"/>
      <c r="AKU49" s="56"/>
      <c r="AKV49" s="56"/>
      <c r="AKW49" s="56"/>
      <c r="AKX49" s="56"/>
      <c r="AKY49" s="56"/>
      <c r="AKZ49" s="56"/>
      <c r="ALA49" s="56"/>
      <c r="ALB49" s="56"/>
      <c r="ALC49" s="56"/>
      <c r="ALD49" s="56"/>
      <c r="ALE49" s="56"/>
      <c r="ALF49" s="56"/>
      <c r="ALG49" s="56"/>
      <c r="ALH49" s="56"/>
      <c r="ALI49" s="56"/>
      <c r="ALJ49" s="56"/>
      <c r="ALK49" s="56"/>
      <c r="ALL49" s="56"/>
      <c r="ALM49" s="56"/>
      <c r="ALN49" s="56"/>
      <c r="ALO49" s="56"/>
      <c r="ALP49" s="56"/>
      <c r="ALQ49" s="56"/>
      <c r="ALR49" s="56"/>
      <c r="ALS49" s="56"/>
      <c r="ALT49" s="56"/>
      <c r="ALU49" s="56"/>
      <c r="ALV49" s="56"/>
      <c r="ALW49" s="56"/>
      <c r="ALX49" s="56"/>
      <c r="ALY49" s="56"/>
      <c r="ALZ49" s="56"/>
      <c r="AMA49" s="56"/>
      <c r="AMB49" s="56"/>
      <c r="AMC49" s="56"/>
      <c r="AMD49" s="56"/>
      <c r="AME49" s="56"/>
      <c r="AMF49" s="56"/>
      <c r="AMG49" s="56"/>
      <c r="AMH49" s="56"/>
      <c r="AMI49" s="56"/>
      <c r="AMJ49" s="56"/>
      <c r="AMK49" s="56"/>
      <c r="AML49" s="56"/>
      <c r="AMM49" s="56"/>
      <c r="AMN49" s="56"/>
      <c r="AMO49" s="56"/>
      <c r="AMP49" s="56"/>
      <c r="AMQ49" s="56"/>
      <c r="AMR49" s="56"/>
      <c r="AMS49" s="56"/>
      <c r="AMT49" s="56"/>
      <c r="AMU49" s="56"/>
      <c r="AMV49" s="56"/>
      <c r="AMW49" s="56"/>
      <c r="AMX49" s="56"/>
      <c r="AMY49" s="56"/>
      <c r="AMZ49" s="56"/>
      <c r="ANA49" s="56"/>
      <c r="ANB49" s="56"/>
      <c r="ANC49" s="56"/>
      <c r="AND49" s="56"/>
      <c r="ANE49" s="56"/>
      <c r="ANF49" s="56"/>
      <c r="ANG49" s="56"/>
      <c r="ANH49" s="56"/>
      <c r="ANI49" s="56"/>
      <c r="ANJ49" s="56"/>
      <c r="ANK49" s="56"/>
      <c r="ANL49" s="56"/>
      <c r="ANM49" s="56"/>
      <c r="ANN49" s="56"/>
      <c r="ANO49" s="56"/>
      <c r="ANP49" s="56"/>
      <c r="ANQ49" s="56"/>
      <c r="ANR49" s="56"/>
      <c r="ANS49" s="56"/>
      <c r="ANT49" s="56"/>
      <c r="ANU49" s="56"/>
      <c r="ANV49" s="56"/>
      <c r="ANW49" s="56"/>
      <c r="ANX49" s="56"/>
      <c r="ANY49" s="56"/>
      <c r="ANZ49" s="56"/>
      <c r="AOA49" s="56"/>
      <c r="AOB49" s="56"/>
      <c r="AOC49" s="56"/>
      <c r="AOD49" s="56"/>
      <c r="AOE49" s="56"/>
      <c r="AOF49" s="56"/>
      <c r="AOG49" s="56"/>
      <c r="AOH49" s="56"/>
      <c r="AOI49" s="56"/>
      <c r="AOJ49" s="56"/>
      <c r="AOK49" s="56"/>
      <c r="AOL49" s="56"/>
      <c r="AOM49" s="56"/>
      <c r="AON49" s="56"/>
      <c r="AOO49" s="56"/>
      <c r="AOP49" s="56"/>
      <c r="AOQ49" s="56"/>
      <c r="AOR49" s="56"/>
      <c r="AOS49" s="56"/>
      <c r="AOT49" s="56"/>
      <c r="AOU49" s="56"/>
      <c r="AOV49" s="56"/>
      <c r="AOW49" s="56"/>
      <c r="AOX49" s="56"/>
      <c r="AOY49" s="56"/>
      <c r="AOZ49" s="56"/>
      <c r="APA49" s="56"/>
      <c r="APB49" s="56"/>
      <c r="APC49" s="56"/>
      <c r="APD49" s="56"/>
      <c r="APE49" s="56"/>
      <c r="APF49" s="56"/>
      <c r="APG49" s="56"/>
      <c r="APH49" s="56"/>
      <c r="API49" s="56"/>
      <c r="APJ49" s="56"/>
      <c r="APK49" s="56"/>
      <c r="APL49" s="56"/>
      <c r="APM49" s="56"/>
      <c r="APN49" s="56"/>
      <c r="APO49" s="56"/>
      <c r="APP49" s="56"/>
      <c r="APQ49" s="56"/>
      <c r="APR49" s="56"/>
      <c r="APS49" s="56"/>
      <c r="APT49" s="56"/>
      <c r="APU49" s="56"/>
      <c r="APV49" s="56"/>
      <c r="APW49" s="56"/>
      <c r="APX49" s="56"/>
      <c r="APY49" s="56"/>
      <c r="APZ49" s="56"/>
      <c r="AQA49" s="56"/>
      <c r="AQB49" s="56"/>
      <c r="AQC49" s="56"/>
      <c r="AQD49" s="56"/>
      <c r="AQE49" s="56"/>
      <c r="AQF49" s="56"/>
      <c r="AQG49" s="56"/>
      <c r="AQH49" s="56"/>
      <c r="AQI49" s="56"/>
      <c r="AQJ49" s="56"/>
      <c r="AQK49" s="56"/>
      <c r="AQL49" s="56"/>
      <c r="AQM49" s="56"/>
      <c r="AQN49" s="56"/>
      <c r="AQO49" s="56"/>
      <c r="AQP49" s="56"/>
      <c r="AQQ49" s="56"/>
      <c r="AQR49" s="56"/>
      <c r="AQS49" s="56"/>
      <c r="AQT49" s="56"/>
      <c r="AQU49" s="56"/>
      <c r="AQV49" s="56"/>
      <c r="AQW49" s="56"/>
      <c r="AQX49" s="56"/>
      <c r="AQY49" s="56"/>
      <c r="AQZ49" s="56"/>
      <c r="ARA49" s="56"/>
      <c r="ARB49" s="56"/>
      <c r="ARC49" s="56"/>
      <c r="ARD49" s="56"/>
      <c r="ARE49" s="56"/>
      <c r="ARF49" s="56"/>
      <c r="ARG49" s="56"/>
      <c r="ARH49" s="56"/>
      <c r="ARI49" s="56"/>
      <c r="ARJ49" s="56"/>
      <c r="ARK49" s="56"/>
      <c r="ARL49" s="56"/>
      <c r="ARM49" s="56"/>
      <c r="ARN49" s="56"/>
      <c r="ARO49" s="56"/>
      <c r="ARP49" s="56"/>
      <c r="ARQ49" s="56"/>
      <c r="ARR49" s="56"/>
      <c r="ARS49" s="56"/>
      <c r="ART49" s="56"/>
      <c r="ARU49" s="56"/>
      <c r="ARV49" s="56"/>
      <c r="ARW49" s="56"/>
      <c r="ARX49" s="56"/>
      <c r="ARY49" s="56"/>
      <c r="ARZ49" s="56"/>
      <c r="ASA49" s="56"/>
      <c r="ASB49" s="56"/>
      <c r="ASC49" s="56"/>
      <c r="ASD49" s="56"/>
      <c r="ASE49" s="56"/>
      <c r="ASF49" s="56"/>
      <c r="ASG49" s="56"/>
      <c r="ASH49" s="56"/>
      <c r="ASI49" s="56"/>
      <c r="ASJ49" s="56"/>
      <c r="ASK49" s="56"/>
      <c r="ASL49" s="56"/>
      <c r="ASM49" s="56"/>
      <c r="ASN49" s="56"/>
      <c r="ASO49" s="56"/>
      <c r="ASP49" s="56"/>
      <c r="ASQ49" s="56"/>
      <c r="ASR49" s="56"/>
      <c r="ASS49" s="56"/>
      <c r="AST49" s="56"/>
      <c r="ASU49" s="56"/>
      <c r="ASV49" s="56"/>
      <c r="ASW49" s="56"/>
      <c r="ASX49" s="56"/>
      <c r="ASY49" s="56"/>
      <c r="ASZ49" s="56"/>
      <c r="ATA49" s="56"/>
      <c r="ATB49" s="56"/>
      <c r="ATC49" s="56"/>
      <c r="ATD49" s="56"/>
      <c r="ATE49" s="56"/>
      <c r="ATF49" s="56"/>
      <c r="ATG49" s="56"/>
      <c r="ATH49" s="56"/>
      <c r="ATI49" s="56"/>
      <c r="ATJ49" s="56"/>
      <c r="ATK49" s="56"/>
      <c r="ATL49" s="56"/>
      <c r="ATM49" s="56"/>
      <c r="ATN49" s="56"/>
      <c r="ATO49" s="56"/>
      <c r="ATP49" s="56"/>
      <c r="ATQ49" s="56"/>
      <c r="ATR49" s="56"/>
      <c r="ATS49" s="56"/>
      <c r="ATT49" s="56"/>
      <c r="ATU49" s="56"/>
      <c r="ATV49" s="56"/>
      <c r="ATW49" s="56"/>
      <c r="ATX49" s="56"/>
      <c r="ATY49" s="56"/>
      <c r="ATZ49" s="56"/>
      <c r="AUA49" s="56"/>
      <c r="AUB49" s="56"/>
      <c r="AUC49" s="56"/>
      <c r="AUD49" s="56"/>
      <c r="AUE49" s="56"/>
      <c r="AUF49" s="56"/>
      <c r="AUG49" s="56"/>
      <c r="AUH49" s="56"/>
      <c r="AUI49" s="56"/>
      <c r="AUJ49" s="56"/>
      <c r="AUK49" s="56"/>
      <c r="AUL49" s="56"/>
      <c r="AUM49" s="56"/>
      <c r="AUN49" s="56"/>
      <c r="AUO49" s="56"/>
      <c r="AUP49" s="56"/>
      <c r="AUQ49" s="56"/>
      <c r="AUR49" s="56"/>
      <c r="AUS49" s="56"/>
      <c r="AUT49" s="56"/>
      <c r="AUU49" s="56"/>
      <c r="AUV49" s="56"/>
      <c r="AUW49" s="56"/>
      <c r="AUX49" s="56"/>
      <c r="AUY49" s="56"/>
      <c r="AUZ49" s="56"/>
      <c r="AVA49" s="56"/>
      <c r="AVB49" s="56"/>
      <c r="AVC49" s="56"/>
      <c r="AVD49" s="56"/>
      <c r="AVE49" s="56"/>
      <c r="AVF49" s="56"/>
      <c r="AVG49" s="56"/>
      <c r="AVH49" s="56"/>
      <c r="AVI49" s="56"/>
      <c r="AVJ49" s="56"/>
      <c r="AVK49" s="56"/>
      <c r="AVL49" s="56"/>
      <c r="AVM49" s="56"/>
      <c r="AVN49" s="56"/>
      <c r="AVO49" s="56"/>
      <c r="AVP49" s="56"/>
      <c r="AVQ49" s="56"/>
      <c r="AVR49" s="56"/>
      <c r="AVS49" s="56"/>
      <c r="AVT49" s="56"/>
      <c r="AVU49" s="56"/>
      <c r="AVV49" s="56"/>
      <c r="AVW49" s="56"/>
      <c r="AVX49" s="56"/>
      <c r="AVY49" s="56"/>
      <c r="AVZ49" s="56"/>
      <c r="AWA49" s="56"/>
      <c r="AWB49" s="56"/>
      <c r="AWC49" s="56"/>
      <c r="AWD49" s="56"/>
      <c r="AWE49" s="56"/>
      <c r="AWF49" s="56"/>
      <c r="AWG49" s="56"/>
      <c r="AWH49" s="56"/>
      <c r="AWI49" s="56"/>
      <c r="AWJ49" s="56"/>
      <c r="AWK49" s="56"/>
      <c r="AWL49" s="56"/>
      <c r="AWM49" s="56"/>
      <c r="AWN49" s="56"/>
      <c r="AWO49" s="56"/>
      <c r="AWP49" s="56"/>
      <c r="AWQ49" s="56"/>
      <c r="AWR49" s="56"/>
      <c r="AWS49" s="56"/>
      <c r="AWT49" s="56"/>
      <c r="AWU49" s="56"/>
      <c r="AWV49" s="56"/>
      <c r="AWW49" s="56"/>
      <c r="AWX49" s="56"/>
      <c r="AWY49" s="56"/>
      <c r="AWZ49" s="56"/>
      <c r="AXA49" s="56"/>
      <c r="AXB49" s="56"/>
      <c r="AXC49" s="56"/>
      <c r="AXD49" s="56"/>
      <c r="AXE49" s="56"/>
      <c r="AXF49" s="56"/>
      <c r="AXG49" s="56"/>
      <c r="AXH49" s="56"/>
      <c r="AXI49" s="56"/>
      <c r="AXJ49" s="56"/>
      <c r="AXK49" s="56"/>
      <c r="AXL49" s="56"/>
      <c r="AXM49" s="56"/>
      <c r="AXN49" s="56"/>
      <c r="AXO49" s="56"/>
      <c r="AXP49" s="56"/>
      <c r="AXQ49" s="56"/>
      <c r="AXR49" s="56"/>
      <c r="AXS49" s="56"/>
      <c r="AXT49" s="56"/>
      <c r="AXU49" s="56"/>
      <c r="AXV49" s="56"/>
      <c r="AXW49" s="56"/>
      <c r="AXX49" s="56"/>
      <c r="AXY49" s="56"/>
      <c r="AXZ49" s="56"/>
      <c r="AYA49" s="56"/>
      <c r="AYB49" s="56"/>
      <c r="AYC49" s="56"/>
      <c r="AYD49" s="56"/>
      <c r="AYE49" s="56"/>
      <c r="AYF49" s="56"/>
      <c r="AYG49" s="56"/>
      <c r="AYH49" s="56"/>
      <c r="AYI49" s="56"/>
      <c r="AYJ49" s="56"/>
      <c r="AYK49" s="56"/>
      <c r="AYL49" s="56"/>
      <c r="AYM49" s="56"/>
      <c r="AYN49" s="56"/>
      <c r="AYO49" s="56"/>
      <c r="AYP49" s="56"/>
      <c r="AYQ49" s="56"/>
      <c r="AYR49" s="56"/>
      <c r="AYS49" s="56"/>
      <c r="AYT49" s="56"/>
      <c r="AYU49" s="56"/>
      <c r="AYV49" s="56"/>
      <c r="AYW49" s="56"/>
      <c r="AYX49" s="56"/>
      <c r="AYY49" s="56"/>
      <c r="AYZ49" s="56"/>
      <c r="AZA49" s="56"/>
      <c r="AZB49" s="56"/>
      <c r="AZC49" s="56"/>
      <c r="AZD49" s="56"/>
      <c r="AZE49" s="56"/>
      <c r="AZF49" s="56"/>
      <c r="AZG49" s="56"/>
      <c r="AZH49" s="56"/>
      <c r="AZI49" s="56"/>
      <c r="AZJ49" s="56"/>
      <c r="AZK49" s="56"/>
      <c r="AZL49" s="56"/>
      <c r="AZM49" s="56"/>
      <c r="AZN49" s="56"/>
      <c r="AZO49" s="56"/>
      <c r="AZP49" s="56"/>
      <c r="AZQ49" s="56"/>
      <c r="AZR49" s="56"/>
      <c r="AZS49" s="56"/>
      <c r="AZT49" s="56"/>
      <c r="AZU49" s="56"/>
      <c r="AZV49" s="56"/>
      <c r="AZW49" s="56"/>
      <c r="AZX49" s="56"/>
      <c r="AZY49" s="56"/>
      <c r="AZZ49" s="56"/>
      <c r="BAA49" s="56"/>
      <c r="BAB49" s="56"/>
      <c r="BAC49" s="56"/>
      <c r="BAD49" s="56"/>
      <c r="BAE49" s="56"/>
      <c r="BAF49" s="56"/>
      <c r="BAG49" s="56"/>
      <c r="BAH49" s="56"/>
      <c r="BAI49" s="56"/>
      <c r="BAJ49" s="56"/>
      <c r="BAK49" s="56"/>
      <c r="BAL49" s="56"/>
      <c r="BAM49" s="56"/>
      <c r="BAN49" s="56"/>
      <c r="BAO49" s="56"/>
      <c r="BAP49" s="56"/>
      <c r="BAQ49" s="56"/>
      <c r="BAR49" s="56"/>
      <c r="BAS49" s="56"/>
      <c r="BAT49" s="56"/>
      <c r="BAU49" s="56"/>
      <c r="BAV49" s="56"/>
      <c r="BAW49" s="56"/>
      <c r="BAX49" s="56"/>
      <c r="BAY49" s="56"/>
      <c r="BAZ49" s="56"/>
      <c r="BBA49" s="56"/>
      <c r="BBB49" s="56"/>
      <c r="BBC49" s="56"/>
      <c r="BBD49" s="56"/>
      <c r="BBE49" s="56"/>
      <c r="BBF49" s="56"/>
      <c r="BBG49" s="56"/>
      <c r="BBH49" s="56"/>
      <c r="BBI49" s="56"/>
      <c r="BBJ49" s="56"/>
      <c r="BBK49" s="56"/>
      <c r="BBL49" s="56"/>
      <c r="BBM49" s="56"/>
      <c r="BBN49" s="56"/>
      <c r="BBO49" s="56"/>
      <c r="BBP49" s="56"/>
      <c r="BBQ49" s="56"/>
      <c r="BBR49" s="56"/>
      <c r="BBS49" s="56"/>
      <c r="BBT49" s="56"/>
      <c r="BBU49" s="56"/>
      <c r="BBV49" s="56"/>
      <c r="BBW49" s="56"/>
      <c r="BBX49" s="56"/>
      <c r="BBY49" s="56"/>
      <c r="BBZ49" s="56"/>
      <c r="BCA49" s="56"/>
      <c r="BCB49" s="56"/>
      <c r="BCC49" s="56"/>
      <c r="BCD49" s="56"/>
      <c r="BCE49" s="56"/>
      <c r="BCF49" s="56"/>
      <c r="BCG49" s="56"/>
      <c r="BCH49" s="56"/>
      <c r="BCI49" s="56"/>
      <c r="BCJ49" s="56"/>
      <c r="BCK49" s="56"/>
      <c r="BCL49" s="56"/>
      <c r="BCM49" s="56"/>
      <c r="BCN49" s="56"/>
      <c r="BCO49" s="56"/>
      <c r="BCP49" s="56"/>
      <c r="BCQ49" s="56"/>
      <c r="BCR49" s="56"/>
      <c r="BCS49" s="56"/>
      <c r="BCT49" s="56"/>
      <c r="BCU49" s="56"/>
      <c r="BCV49" s="56"/>
      <c r="BCW49" s="56"/>
      <c r="BCX49" s="56"/>
      <c r="BCY49" s="56"/>
      <c r="BCZ49" s="56"/>
      <c r="BDA49" s="56"/>
      <c r="BDB49" s="56"/>
      <c r="BDC49" s="56"/>
      <c r="BDD49" s="56"/>
      <c r="BDE49" s="56"/>
      <c r="BDF49" s="56"/>
      <c r="BDG49" s="56"/>
      <c r="BDH49" s="56"/>
      <c r="BDI49" s="56"/>
      <c r="BDJ49" s="56"/>
      <c r="BDK49" s="56"/>
      <c r="BDL49" s="56"/>
      <c r="BDM49" s="56"/>
      <c r="BDN49" s="56"/>
      <c r="BDO49" s="56"/>
      <c r="BDP49" s="56"/>
      <c r="BDQ49" s="56"/>
      <c r="BDR49" s="56"/>
      <c r="BDS49" s="56"/>
      <c r="BDT49" s="56"/>
      <c r="BDU49" s="56"/>
      <c r="BDV49" s="56"/>
      <c r="BDW49" s="56"/>
      <c r="BDX49" s="56"/>
      <c r="BDY49" s="56"/>
      <c r="BDZ49" s="56"/>
      <c r="BEA49" s="56"/>
      <c r="BEB49" s="56"/>
      <c r="BEC49" s="56"/>
      <c r="BED49" s="56"/>
      <c r="BEE49" s="56"/>
      <c r="BEF49" s="56"/>
      <c r="BEG49" s="56"/>
      <c r="BEH49" s="56"/>
      <c r="BEI49" s="56"/>
      <c r="BEJ49" s="56"/>
      <c r="BEK49" s="56"/>
      <c r="BEL49" s="56"/>
      <c r="BEM49" s="56"/>
      <c r="BEN49" s="56"/>
      <c r="BEO49" s="56"/>
      <c r="BEP49" s="56"/>
      <c r="BEQ49" s="56"/>
      <c r="BER49" s="56"/>
      <c r="BES49" s="56"/>
      <c r="BET49" s="56"/>
      <c r="BEU49" s="56"/>
      <c r="BEV49" s="56"/>
      <c r="BEW49" s="56"/>
      <c r="BEX49" s="56"/>
      <c r="BEY49" s="56"/>
      <c r="BEZ49" s="56"/>
      <c r="BFA49" s="56"/>
      <c r="BFB49" s="56"/>
      <c r="BFC49" s="56"/>
      <c r="BFD49" s="56"/>
      <c r="BFE49" s="56"/>
      <c r="BFF49" s="56"/>
      <c r="BFG49" s="56"/>
      <c r="BFH49" s="56"/>
      <c r="BFI49" s="56"/>
      <c r="BFJ49" s="56"/>
      <c r="BFK49" s="56"/>
      <c r="BFL49" s="56"/>
      <c r="BFM49" s="56"/>
      <c r="BFN49" s="56"/>
      <c r="BFO49" s="56"/>
      <c r="BFP49" s="56"/>
      <c r="BFQ49" s="56"/>
      <c r="BFR49" s="56"/>
      <c r="BFS49" s="56"/>
      <c r="BFT49" s="56"/>
      <c r="BFU49" s="56"/>
      <c r="BFV49" s="56"/>
      <c r="BFW49" s="56"/>
      <c r="BFX49" s="56"/>
      <c r="BFY49" s="56"/>
      <c r="BFZ49" s="56"/>
      <c r="BGA49" s="56"/>
      <c r="BGB49" s="56"/>
      <c r="BGC49" s="56"/>
      <c r="BGD49" s="56"/>
      <c r="BGE49" s="56"/>
      <c r="BGF49" s="56"/>
      <c r="BGG49" s="56"/>
      <c r="BGH49" s="56"/>
      <c r="BGI49" s="56"/>
      <c r="BGJ49" s="56"/>
      <c r="BGK49" s="56"/>
      <c r="BGL49" s="56"/>
      <c r="BGM49" s="56"/>
      <c r="BGN49" s="56"/>
      <c r="BGO49" s="56"/>
      <c r="BGP49" s="56"/>
      <c r="BGQ49" s="56"/>
      <c r="BGR49" s="56"/>
      <c r="BGS49" s="56"/>
      <c r="BGT49" s="56"/>
      <c r="BGU49" s="56"/>
      <c r="BGV49" s="56"/>
      <c r="BGW49" s="56"/>
      <c r="BGX49" s="56"/>
      <c r="BGY49" s="56"/>
      <c r="BGZ49" s="56"/>
      <c r="BHA49" s="56"/>
      <c r="BHB49" s="56"/>
      <c r="BHC49" s="56"/>
      <c r="BHD49" s="56"/>
      <c r="BHE49" s="56"/>
      <c r="BHF49" s="56"/>
      <c r="BHG49" s="56"/>
      <c r="BHH49" s="56"/>
      <c r="BHI49" s="56"/>
      <c r="BHJ49" s="56"/>
      <c r="BHK49" s="56"/>
      <c r="BHL49" s="56"/>
      <c r="BHM49" s="56"/>
      <c r="BHN49" s="56"/>
      <c r="BHO49" s="56"/>
      <c r="BHP49" s="56"/>
      <c r="BHQ49" s="56"/>
      <c r="BHR49" s="56"/>
      <c r="BHS49" s="56"/>
      <c r="BHT49" s="56"/>
      <c r="BHU49" s="56"/>
      <c r="BHV49" s="56"/>
      <c r="BHW49" s="56"/>
      <c r="BHX49" s="56"/>
      <c r="BHY49" s="56"/>
      <c r="BHZ49" s="56"/>
      <c r="BIA49" s="56"/>
      <c r="BIB49" s="56"/>
      <c r="BIC49" s="56"/>
      <c r="BID49" s="56"/>
      <c r="BIE49" s="56"/>
      <c r="BIF49" s="56"/>
      <c r="BIG49" s="56"/>
      <c r="BIH49" s="56"/>
      <c r="BII49" s="56"/>
      <c r="BIJ49" s="56"/>
      <c r="BIK49" s="56"/>
      <c r="BIL49" s="56"/>
      <c r="BIM49" s="56"/>
      <c r="BIN49" s="56"/>
      <c r="BIO49" s="56"/>
      <c r="BIP49" s="56"/>
      <c r="BIQ49" s="56"/>
      <c r="BIR49" s="56"/>
      <c r="BIS49" s="56"/>
      <c r="BIT49" s="56"/>
      <c r="BIU49" s="56"/>
      <c r="BIV49" s="56"/>
      <c r="BIW49" s="56"/>
      <c r="BIX49" s="56"/>
      <c r="BIY49" s="56"/>
      <c r="BIZ49" s="56"/>
      <c r="BJA49" s="56"/>
      <c r="BJB49" s="56"/>
      <c r="BJC49" s="56"/>
      <c r="BJD49" s="56"/>
      <c r="BJE49" s="56"/>
      <c r="BJF49" s="56"/>
      <c r="BJG49" s="56"/>
      <c r="BJH49" s="56"/>
      <c r="BJI49" s="56"/>
      <c r="BJJ49" s="56"/>
      <c r="BJK49" s="56"/>
      <c r="BJL49" s="56"/>
      <c r="BJM49" s="56"/>
      <c r="BJN49" s="56"/>
      <c r="BJO49" s="56"/>
      <c r="BJP49" s="56"/>
      <c r="BJQ49" s="56"/>
      <c r="BJR49" s="56"/>
      <c r="BJS49" s="56"/>
      <c r="BJT49" s="56"/>
      <c r="BJU49" s="56"/>
      <c r="BJV49" s="56"/>
      <c r="BJW49" s="56"/>
      <c r="BJX49" s="56"/>
      <c r="BJY49" s="56"/>
      <c r="BJZ49" s="56"/>
      <c r="BKA49" s="56"/>
      <c r="BKB49" s="56"/>
      <c r="BKC49" s="56"/>
      <c r="BKD49" s="56"/>
      <c r="BKE49" s="56"/>
      <c r="BKF49" s="56"/>
      <c r="BKG49" s="56"/>
      <c r="BKH49" s="56"/>
      <c r="BKI49" s="56"/>
      <c r="BKJ49" s="56"/>
      <c r="BKK49" s="56"/>
      <c r="BKL49" s="56"/>
      <c r="BKM49" s="56"/>
      <c r="BKN49" s="56"/>
      <c r="BKO49" s="56"/>
      <c r="BKP49" s="56"/>
      <c r="BKQ49" s="56"/>
      <c r="BKR49" s="56"/>
      <c r="BKS49" s="56"/>
      <c r="BKT49" s="56"/>
      <c r="BKU49" s="56"/>
      <c r="BKV49" s="56"/>
      <c r="BKW49" s="56"/>
      <c r="BKX49" s="56"/>
      <c r="BKY49" s="56"/>
      <c r="BKZ49" s="56"/>
      <c r="BLA49" s="56"/>
      <c r="BLB49" s="56"/>
      <c r="BLC49" s="56"/>
      <c r="BLD49" s="56"/>
      <c r="BLE49" s="56"/>
      <c r="BLF49" s="56"/>
      <c r="BLG49" s="56"/>
      <c r="BLH49" s="56"/>
      <c r="BLI49" s="56"/>
      <c r="BLJ49" s="56"/>
      <c r="BLK49" s="56"/>
      <c r="BLL49" s="56"/>
      <c r="BLM49" s="56"/>
      <c r="BLN49" s="56"/>
      <c r="BLO49" s="56"/>
      <c r="BLP49" s="56"/>
      <c r="BLQ49" s="56"/>
      <c r="BLR49" s="56"/>
      <c r="BLS49" s="56"/>
      <c r="BLT49" s="56"/>
      <c r="BLU49" s="56"/>
      <c r="BLV49" s="56"/>
      <c r="BLW49" s="56"/>
      <c r="BLX49" s="56"/>
      <c r="BLY49" s="56"/>
      <c r="BLZ49" s="56"/>
      <c r="BMA49" s="56"/>
      <c r="BMB49" s="56"/>
      <c r="BMC49" s="56"/>
      <c r="BMD49" s="56"/>
      <c r="BME49" s="56"/>
      <c r="BMF49" s="56"/>
      <c r="BMG49" s="56"/>
      <c r="BMH49" s="56"/>
      <c r="BMI49" s="56"/>
      <c r="BMJ49" s="56"/>
      <c r="BMK49" s="56"/>
      <c r="BML49" s="56"/>
      <c r="BMM49" s="56"/>
      <c r="BMN49" s="56"/>
      <c r="BMO49" s="56"/>
      <c r="BMP49" s="56"/>
      <c r="BMQ49" s="56"/>
      <c r="BMR49" s="56"/>
      <c r="BMS49" s="56"/>
      <c r="BMT49" s="56"/>
      <c r="BMU49" s="56"/>
      <c r="BMV49" s="56"/>
      <c r="BMW49" s="56"/>
      <c r="BMX49" s="56"/>
      <c r="BMY49" s="56"/>
      <c r="BMZ49" s="56"/>
      <c r="BNA49" s="56"/>
      <c r="BNB49" s="56"/>
      <c r="BNC49" s="56"/>
      <c r="BND49" s="56"/>
      <c r="BNE49" s="56"/>
      <c r="BNF49" s="56"/>
      <c r="BNG49" s="56"/>
      <c r="BNH49" s="56"/>
      <c r="BNI49" s="56"/>
      <c r="BNJ49" s="56"/>
      <c r="BNK49" s="56"/>
      <c r="BNL49" s="56"/>
      <c r="BNM49" s="56"/>
      <c r="BNN49" s="56"/>
      <c r="BNO49" s="56"/>
      <c r="BNP49" s="56"/>
      <c r="BNQ49" s="56"/>
      <c r="BNR49" s="56"/>
      <c r="BNS49" s="56"/>
      <c r="BNT49" s="56"/>
      <c r="BNU49" s="56"/>
      <c r="BNV49" s="56"/>
      <c r="BNW49" s="56"/>
      <c r="BNX49" s="56"/>
      <c r="BNY49" s="56"/>
      <c r="BNZ49" s="56"/>
      <c r="BOA49" s="56"/>
      <c r="BOB49" s="56"/>
      <c r="BOC49" s="56"/>
      <c r="BOD49" s="56"/>
      <c r="BOE49" s="56"/>
      <c r="BOF49" s="56"/>
      <c r="BOG49" s="56"/>
      <c r="BOH49" s="56"/>
      <c r="BOI49" s="56"/>
      <c r="BOJ49" s="56"/>
      <c r="BOK49" s="56"/>
      <c r="BOL49" s="56"/>
      <c r="BOM49" s="56"/>
      <c r="BON49" s="56"/>
      <c r="BOO49" s="56"/>
      <c r="BOP49" s="56"/>
      <c r="BOQ49" s="56"/>
      <c r="BOR49" s="56"/>
      <c r="BOS49" s="56"/>
      <c r="BOT49" s="56"/>
      <c r="BOU49" s="56"/>
      <c r="BOV49" s="56"/>
      <c r="BOW49" s="56"/>
      <c r="BOX49" s="56"/>
      <c r="BOY49" s="56"/>
      <c r="BOZ49" s="56"/>
      <c r="BPA49" s="56"/>
      <c r="BPB49" s="56"/>
      <c r="BPC49" s="56"/>
      <c r="BPD49" s="56"/>
      <c r="BPE49" s="56"/>
      <c r="BPF49" s="56"/>
      <c r="BPG49" s="56"/>
      <c r="BPH49" s="56"/>
      <c r="BPI49" s="56"/>
      <c r="BPJ49" s="56"/>
      <c r="BPK49" s="56"/>
      <c r="BPL49" s="56"/>
      <c r="BPM49" s="56"/>
      <c r="BPN49" s="56"/>
      <c r="BPO49" s="56"/>
      <c r="BPP49" s="56"/>
      <c r="BPQ49" s="56"/>
      <c r="BPR49" s="56"/>
      <c r="BPS49" s="56"/>
      <c r="BPT49" s="56"/>
      <c r="BPU49" s="56"/>
      <c r="BPV49" s="56"/>
      <c r="BPW49" s="56"/>
      <c r="BPX49" s="56"/>
      <c r="BPY49" s="56"/>
      <c r="BPZ49" s="56"/>
      <c r="BQA49" s="56"/>
      <c r="BQB49" s="56"/>
      <c r="BQC49" s="56"/>
      <c r="BQD49" s="56"/>
      <c r="BQE49" s="56"/>
      <c r="BQF49" s="56"/>
      <c r="BQG49" s="56"/>
      <c r="BQH49" s="56"/>
      <c r="BQI49" s="56"/>
      <c r="BQJ49" s="56"/>
      <c r="BQK49" s="56"/>
      <c r="BQL49" s="56"/>
      <c r="BQM49" s="56"/>
      <c r="BQN49" s="56"/>
      <c r="BQO49" s="56"/>
      <c r="BQP49" s="56"/>
      <c r="BQQ49" s="56"/>
      <c r="BQR49" s="56"/>
      <c r="BQS49" s="56"/>
      <c r="BQT49" s="56"/>
      <c r="BQU49" s="56"/>
      <c r="BQV49" s="56"/>
      <c r="BQW49" s="56"/>
      <c r="BQX49" s="56"/>
      <c r="BQY49" s="56"/>
      <c r="BQZ49" s="56"/>
      <c r="BRA49" s="56"/>
      <c r="BRB49" s="56"/>
      <c r="BRC49" s="56"/>
      <c r="BRD49" s="56"/>
      <c r="BRE49" s="56"/>
      <c r="BRF49" s="56"/>
      <c r="BRG49" s="56"/>
      <c r="BRH49" s="56"/>
      <c r="BRI49" s="56"/>
      <c r="BRJ49" s="56"/>
      <c r="BRK49" s="56"/>
      <c r="BRL49" s="56"/>
      <c r="BRM49" s="56"/>
      <c r="BRN49" s="56"/>
      <c r="BRO49" s="56"/>
      <c r="BRP49" s="56"/>
      <c r="BRQ49" s="56"/>
      <c r="BRR49" s="56"/>
      <c r="BRS49" s="56"/>
      <c r="BRT49" s="56"/>
      <c r="BRU49" s="56"/>
      <c r="BRV49" s="56"/>
      <c r="BRW49" s="56"/>
      <c r="BRX49" s="56"/>
      <c r="BRY49" s="56"/>
      <c r="BRZ49" s="56"/>
      <c r="BSA49" s="56"/>
      <c r="BSB49" s="56"/>
      <c r="BSC49" s="56"/>
      <c r="BSD49" s="56"/>
      <c r="BSE49" s="56"/>
      <c r="BSF49" s="56"/>
      <c r="BSG49" s="56"/>
      <c r="BSH49" s="56"/>
      <c r="BSI49" s="56"/>
      <c r="BSJ49" s="56"/>
      <c r="BSK49" s="56"/>
      <c r="BSL49" s="56"/>
      <c r="BSM49" s="56"/>
      <c r="BSN49" s="56"/>
      <c r="BSO49" s="56"/>
      <c r="BSP49" s="56"/>
      <c r="BSQ49" s="56"/>
      <c r="BSR49" s="56"/>
      <c r="BSS49" s="56"/>
      <c r="BST49" s="56"/>
      <c r="BSU49" s="56"/>
      <c r="BSV49" s="56"/>
      <c r="BSW49" s="56"/>
      <c r="BSX49" s="56"/>
      <c r="BSY49" s="56"/>
      <c r="BSZ49" s="56"/>
      <c r="BTA49" s="56"/>
      <c r="BTB49" s="56"/>
      <c r="BTC49" s="56"/>
      <c r="BTD49" s="56"/>
      <c r="BTE49" s="56"/>
      <c r="BTF49" s="56"/>
      <c r="BTG49" s="56"/>
      <c r="BTH49" s="56"/>
      <c r="BTI49" s="56"/>
      <c r="BTJ49" s="56"/>
      <c r="BTK49" s="56"/>
      <c r="BTL49" s="56"/>
      <c r="BTM49" s="56"/>
      <c r="BTN49" s="56"/>
      <c r="BTO49" s="56"/>
      <c r="BTP49" s="56"/>
      <c r="BTQ49" s="56"/>
      <c r="BTR49" s="56"/>
      <c r="BTS49" s="56"/>
      <c r="BTT49" s="56"/>
      <c r="BTU49" s="56"/>
      <c r="BTV49" s="56"/>
      <c r="BTW49" s="56"/>
      <c r="BTX49" s="56"/>
      <c r="BTY49" s="56"/>
      <c r="BTZ49" s="56"/>
      <c r="BUA49" s="56"/>
      <c r="BUB49" s="56"/>
      <c r="BUC49" s="56"/>
      <c r="BUD49" s="56"/>
      <c r="BUE49" s="56"/>
      <c r="BUF49" s="56"/>
      <c r="BUG49" s="56"/>
      <c r="BUH49" s="56"/>
      <c r="BUI49" s="56"/>
      <c r="BUJ49" s="56"/>
      <c r="BUK49" s="56"/>
      <c r="BUL49" s="56"/>
      <c r="BUM49" s="56"/>
      <c r="BUN49" s="56"/>
      <c r="BUO49" s="56"/>
      <c r="BUP49" s="56"/>
      <c r="BUQ49" s="56"/>
      <c r="BUR49" s="56"/>
      <c r="BUS49" s="56"/>
      <c r="BUT49" s="56"/>
      <c r="BUU49" s="56"/>
      <c r="BUV49" s="56"/>
      <c r="BUW49" s="56"/>
      <c r="BUX49" s="56"/>
      <c r="BUY49" s="56"/>
      <c r="BUZ49" s="56"/>
      <c r="BVA49" s="56"/>
      <c r="BVB49" s="56"/>
      <c r="BVC49" s="56"/>
      <c r="BVD49" s="56"/>
      <c r="BVE49" s="56"/>
      <c r="BVF49" s="56"/>
      <c r="BVG49" s="56"/>
      <c r="BVH49" s="56"/>
      <c r="BVI49" s="56"/>
      <c r="BVJ49" s="56"/>
      <c r="BVK49" s="56"/>
      <c r="BVL49" s="56"/>
      <c r="BVM49" s="56"/>
      <c r="BVN49" s="56"/>
      <c r="BVO49" s="56"/>
      <c r="BVP49" s="56"/>
      <c r="BVQ49" s="56"/>
      <c r="BVR49" s="56"/>
      <c r="BVS49" s="56"/>
      <c r="BVT49" s="56"/>
      <c r="BVU49" s="56"/>
      <c r="BVV49" s="56"/>
      <c r="BVW49" s="56"/>
      <c r="BVX49" s="56"/>
      <c r="BVY49" s="56"/>
      <c r="BVZ49" s="56"/>
      <c r="BWA49" s="56"/>
      <c r="BWB49" s="56"/>
      <c r="BWC49" s="56"/>
      <c r="BWD49" s="56"/>
      <c r="BWE49" s="56"/>
      <c r="BWF49" s="56"/>
      <c r="BWG49" s="56"/>
      <c r="BWH49" s="56"/>
      <c r="BWI49" s="56"/>
      <c r="BWJ49" s="56"/>
      <c r="BWK49" s="56"/>
      <c r="BWL49" s="56"/>
      <c r="BWM49" s="56"/>
      <c r="BWN49" s="56"/>
      <c r="BWO49" s="56"/>
      <c r="BWP49" s="56"/>
      <c r="BWQ49" s="56"/>
      <c r="BWR49" s="56"/>
      <c r="BWS49" s="56"/>
      <c r="BWT49" s="56"/>
      <c r="BWU49" s="56"/>
      <c r="BWV49" s="56"/>
      <c r="BWW49" s="56"/>
      <c r="BWX49" s="56"/>
      <c r="BWY49" s="56"/>
      <c r="BWZ49" s="56"/>
      <c r="BXA49" s="56"/>
      <c r="BXB49" s="56"/>
      <c r="BXC49" s="56"/>
      <c r="BXD49" s="56"/>
      <c r="BXE49" s="56"/>
      <c r="BXF49" s="56"/>
      <c r="BXG49" s="56"/>
      <c r="BXH49" s="56"/>
      <c r="BXI49" s="56"/>
      <c r="BXJ49" s="56"/>
      <c r="BXK49" s="56"/>
      <c r="BXL49" s="56"/>
      <c r="BXM49" s="56"/>
      <c r="BXN49" s="56"/>
      <c r="BXO49" s="56"/>
      <c r="BXP49" s="56"/>
      <c r="BXQ49" s="56"/>
      <c r="BXR49" s="56"/>
      <c r="BXS49" s="56"/>
      <c r="BXT49" s="56"/>
      <c r="BXU49" s="56"/>
      <c r="BXV49" s="56"/>
      <c r="BXW49" s="56"/>
      <c r="BXX49" s="56"/>
      <c r="BXY49" s="56"/>
      <c r="BXZ49" s="56"/>
      <c r="BYA49" s="56"/>
      <c r="BYB49" s="56"/>
      <c r="BYC49" s="56"/>
      <c r="BYD49" s="56"/>
      <c r="BYE49" s="56"/>
      <c r="BYF49" s="56"/>
      <c r="BYG49" s="56"/>
      <c r="BYH49" s="56"/>
      <c r="BYI49" s="56"/>
      <c r="BYJ49" s="56"/>
      <c r="BYK49" s="56"/>
      <c r="BYL49" s="56"/>
      <c r="BYM49" s="56"/>
      <c r="BYN49" s="56"/>
      <c r="BYO49" s="56"/>
      <c r="BYP49" s="56"/>
      <c r="BYQ49" s="56"/>
      <c r="BYR49" s="56"/>
      <c r="BYS49" s="56"/>
      <c r="BYT49" s="56"/>
      <c r="BYU49" s="56"/>
      <c r="BYV49" s="56"/>
      <c r="BYW49" s="56"/>
      <c r="BYX49" s="56"/>
      <c r="BYY49" s="56"/>
      <c r="BYZ49" s="56"/>
      <c r="BZA49" s="56"/>
      <c r="BZB49" s="56"/>
      <c r="BZC49" s="56"/>
      <c r="BZD49" s="56"/>
      <c r="BZE49" s="56"/>
      <c r="BZF49" s="56"/>
      <c r="BZG49" s="56"/>
      <c r="BZH49" s="56"/>
      <c r="BZI49" s="56"/>
      <c r="BZJ49" s="56"/>
      <c r="BZK49" s="56"/>
      <c r="BZL49" s="56"/>
      <c r="BZM49" s="56"/>
      <c r="BZN49" s="56"/>
      <c r="BZO49" s="56"/>
      <c r="BZP49" s="56"/>
      <c r="BZQ49" s="56"/>
      <c r="BZR49" s="56"/>
      <c r="BZS49" s="56"/>
      <c r="BZT49" s="56"/>
      <c r="BZU49" s="56"/>
      <c r="BZV49" s="56"/>
      <c r="BZW49" s="56"/>
      <c r="BZX49" s="56"/>
      <c r="BZY49" s="56"/>
      <c r="BZZ49" s="56"/>
      <c r="CAA49" s="56"/>
      <c r="CAB49" s="56"/>
      <c r="CAC49" s="56"/>
      <c r="CAD49" s="56"/>
      <c r="CAE49" s="56"/>
      <c r="CAF49" s="56"/>
      <c r="CAG49" s="56"/>
      <c r="CAH49" s="56"/>
      <c r="CAI49" s="56"/>
      <c r="CAJ49" s="56"/>
      <c r="CAK49" s="56"/>
      <c r="CAL49" s="56"/>
      <c r="CAM49" s="56"/>
      <c r="CAN49" s="56"/>
      <c r="CAO49" s="56"/>
      <c r="CAP49" s="56"/>
      <c r="CAQ49" s="56"/>
      <c r="CAR49" s="56"/>
      <c r="CAS49" s="56"/>
      <c r="CAT49" s="56"/>
      <c r="CAU49" s="56"/>
      <c r="CAV49" s="56"/>
      <c r="CAW49" s="56"/>
      <c r="CAX49" s="56"/>
      <c r="CAY49" s="56"/>
      <c r="CAZ49" s="56"/>
      <c r="CBA49" s="56"/>
      <c r="CBB49" s="56"/>
      <c r="CBC49" s="56"/>
      <c r="CBD49" s="56"/>
      <c r="CBE49" s="56"/>
      <c r="CBF49" s="56"/>
      <c r="CBG49" s="56"/>
      <c r="CBH49" s="56"/>
      <c r="CBI49" s="56"/>
      <c r="CBJ49" s="56"/>
      <c r="CBK49" s="56"/>
      <c r="CBL49" s="56"/>
      <c r="CBM49" s="56"/>
      <c r="CBN49" s="56"/>
      <c r="CBO49" s="56"/>
      <c r="CBP49" s="56"/>
      <c r="CBQ49" s="56"/>
      <c r="CBR49" s="56"/>
      <c r="CBS49" s="56"/>
      <c r="CBT49" s="56"/>
      <c r="CBU49" s="56"/>
      <c r="CBV49" s="56"/>
      <c r="CBW49" s="56"/>
      <c r="CBX49" s="56"/>
      <c r="CBY49" s="56"/>
      <c r="CBZ49" s="56"/>
      <c r="CCA49" s="56"/>
      <c r="CCB49" s="56"/>
      <c r="CCC49" s="56"/>
      <c r="CCD49" s="56"/>
      <c r="CCE49" s="56"/>
      <c r="CCF49" s="56"/>
      <c r="CCG49" s="56"/>
      <c r="CCH49" s="56"/>
      <c r="CCI49" s="56"/>
      <c r="CCJ49" s="56"/>
      <c r="CCK49" s="56"/>
      <c r="CCL49" s="56"/>
      <c r="CCM49" s="56"/>
      <c r="CCN49" s="56"/>
      <c r="CCO49" s="56"/>
      <c r="CCP49" s="56"/>
      <c r="CCQ49" s="56"/>
      <c r="CCR49" s="56"/>
      <c r="CCS49" s="56"/>
      <c r="CCT49" s="56"/>
      <c r="CCU49" s="56"/>
      <c r="CCV49" s="56"/>
      <c r="CCW49" s="56"/>
      <c r="CCX49" s="56"/>
      <c r="CCY49" s="56"/>
      <c r="CCZ49" s="56"/>
      <c r="CDA49" s="56"/>
      <c r="CDB49" s="56"/>
      <c r="CDC49" s="56"/>
      <c r="CDD49" s="56"/>
      <c r="CDE49" s="56"/>
      <c r="CDF49" s="56"/>
      <c r="CDG49" s="56"/>
      <c r="CDH49" s="56"/>
      <c r="CDI49" s="56"/>
      <c r="CDJ49" s="56"/>
      <c r="CDK49" s="56"/>
      <c r="CDL49" s="56"/>
      <c r="CDM49" s="56"/>
      <c r="CDN49" s="56"/>
      <c r="CDO49" s="56"/>
      <c r="CDP49" s="56"/>
      <c r="CDQ49" s="56"/>
      <c r="CDR49" s="56"/>
      <c r="CDS49" s="56"/>
      <c r="CDT49" s="56"/>
      <c r="CDU49" s="56"/>
      <c r="CDV49" s="56"/>
      <c r="CDW49" s="56"/>
      <c r="CDX49" s="56"/>
      <c r="CDY49" s="56"/>
      <c r="CDZ49" s="56"/>
      <c r="CEA49" s="56"/>
      <c r="CEB49" s="56"/>
      <c r="CEC49" s="56"/>
      <c r="CED49" s="56"/>
      <c r="CEE49" s="56"/>
      <c r="CEF49" s="56"/>
      <c r="CEG49" s="56"/>
      <c r="CEH49" s="56"/>
      <c r="CEI49" s="56"/>
      <c r="CEJ49" s="56"/>
      <c r="CEK49" s="56"/>
      <c r="CEL49" s="56"/>
      <c r="CEM49" s="56"/>
      <c r="CEN49" s="56"/>
      <c r="CEO49" s="56"/>
      <c r="CEP49" s="56"/>
      <c r="CEQ49" s="56"/>
      <c r="CER49" s="56"/>
      <c r="CES49" s="56"/>
      <c r="CET49" s="56"/>
      <c r="CEU49" s="56"/>
      <c r="CEV49" s="56"/>
      <c r="CEW49" s="56"/>
      <c r="CEX49" s="56"/>
      <c r="CEY49" s="56"/>
      <c r="CEZ49" s="56"/>
      <c r="CFA49" s="56"/>
      <c r="CFB49" s="56"/>
      <c r="CFC49" s="56"/>
      <c r="CFD49" s="56"/>
      <c r="CFE49" s="56"/>
      <c r="CFF49" s="56"/>
      <c r="CFG49" s="56"/>
      <c r="CFH49" s="56"/>
      <c r="CFI49" s="56"/>
      <c r="CFJ49" s="56"/>
      <c r="CFK49" s="56"/>
      <c r="CFL49" s="56"/>
      <c r="CFM49" s="56"/>
      <c r="CFN49" s="56"/>
      <c r="CFO49" s="56"/>
      <c r="CFP49" s="56"/>
      <c r="CFQ49" s="56"/>
      <c r="CFR49" s="56"/>
      <c r="CFS49" s="56"/>
      <c r="CFT49" s="56"/>
      <c r="CFU49" s="56"/>
      <c r="CFV49" s="56"/>
      <c r="CFW49" s="56"/>
      <c r="CFX49" s="56"/>
      <c r="CFY49" s="56"/>
      <c r="CFZ49" s="56"/>
      <c r="CGA49" s="56"/>
      <c r="CGB49" s="56"/>
      <c r="CGC49" s="56"/>
      <c r="CGD49" s="56"/>
      <c r="CGE49" s="56"/>
      <c r="CGF49" s="56"/>
      <c r="CGG49" s="56"/>
      <c r="CGH49" s="56"/>
      <c r="CGI49" s="56"/>
      <c r="CGJ49" s="56"/>
      <c r="CGK49" s="56"/>
      <c r="CGL49" s="56"/>
      <c r="CGM49" s="56"/>
      <c r="CGN49" s="56"/>
      <c r="CGO49" s="56"/>
      <c r="CGP49" s="56"/>
      <c r="CGQ49" s="56"/>
      <c r="CGR49" s="56"/>
      <c r="CGS49" s="56"/>
      <c r="CGT49" s="56"/>
      <c r="CGU49" s="56"/>
      <c r="CGV49" s="56"/>
      <c r="CGW49" s="56"/>
      <c r="CGX49" s="56"/>
      <c r="CGY49" s="56"/>
      <c r="CGZ49" s="56"/>
      <c r="CHA49" s="56"/>
      <c r="CHB49" s="56"/>
      <c r="CHC49" s="56"/>
      <c r="CHD49" s="56"/>
      <c r="CHE49" s="56"/>
      <c r="CHF49" s="56"/>
      <c r="CHG49" s="56"/>
      <c r="CHH49" s="56"/>
      <c r="CHI49" s="56"/>
      <c r="CHJ49" s="56"/>
      <c r="CHK49" s="56"/>
      <c r="CHL49" s="56"/>
      <c r="CHM49" s="56"/>
      <c r="CHN49" s="56"/>
      <c r="CHO49" s="56"/>
      <c r="CHP49" s="56"/>
      <c r="CHQ49" s="56"/>
      <c r="CHR49" s="56"/>
      <c r="CHS49" s="56"/>
      <c r="CHT49" s="56"/>
      <c r="CHU49" s="56"/>
      <c r="CHV49" s="56"/>
      <c r="CHW49" s="56"/>
      <c r="CHX49" s="56"/>
      <c r="CHY49" s="56"/>
      <c r="CHZ49" s="56"/>
      <c r="CIA49" s="56"/>
      <c r="CIB49" s="56"/>
      <c r="CIC49" s="56"/>
      <c r="CID49" s="56"/>
      <c r="CIE49" s="56"/>
      <c r="CIF49" s="56"/>
      <c r="CIG49" s="56"/>
      <c r="CIH49" s="56"/>
      <c r="CII49" s="56"/>
      <c r="CIJ49" s="56"/>
      <c r="CIK49" s="56"/>
      <c r="CIL49" s="56"/>
      <c r="CIM49" s="56"/>
      <c r="CIN49" s="56"/>
      <c r="CIO49" s="56"/>
      <c r="CIP49" s="56"/>
      <c r="CIQ49" s="56"/>
      <c r="CIR49" s="56"/>
      <c r="CIS49" s="56"/>
      <c r="CIT49" s="56"/>
      <c r="CIU49" s="56"/>
      <c r="CIV49" s="56"/>
      <c r="CIW49" s="56"/>
      <c r="CIX49" s="56"/>
      <c r="CIY49" s="56"/>
      <c r="CIZ49" s="56"/>
      <c r="CJA49" s="56"/>
      <c r="CJB49" s="56"/>
      <c r="CJC49" s="56"/>
      <c r="CJD49" s="56"/>
      <c r="CJE49" s="56"/>
      <c r="CJF49" s="56"/>
      <c r="CJG49" s="56"/>
      <c r="CJH49" s="56"/>
      <c r="CJI49" s="56"/>
      <c r="CJJ49" s="56"/>
      <c r="CJK49" s="56"/>
      <c r="CJL49" s="56"/>
      <c r="CJM49" s="56"/>
      <c r="CJN49" s="56"/>
      <c r="CJO49" s="56"/>
      <c r="CJP49" s="56"/>
      <c r="CJQ49" s="56"/>
      <c r="CJR49" s="56"/>
      <c r="CJS49" s="56"/>
      <c r="CJT49" s="56"/>
      <c r="CJU49" s="56"/>
      <c r="CJV49" s="56"/>
      <c r="CJW49" s="56"/>
      <c r="CJX49" s="56"/>
      <c r="CJY49" s="56"/>
      <c r="CJZ49" s="56"/>
      <c r="CKA49" s="56"/>
      <c r="CKB49" s="56"/>
      <c r="CKC49" s="56"/>
      <c r="CKD49" s="56"/>
      <c r="CKE49" s="56"/>
      <c r="CKF49" s="56"/>
      <c r="CKG49" s="56"/>
      <c r="CKH49" s="56"/>
      <c r="CKI49" s="56"/>
      <c r="CKJ49" s="56"/>
      <c r="CKK49" s="56"/>
      <c r="CKL49" s="56"/>
      <c r="CKM49" s="56"/>
      <c r="CKN49" s="56"/>
      <c r="CKO49" s="56"/>
      <c r="CKP49" s="56"/>
      <c r="CKQ49" s="56"/>
      <c r="CKR49" s="56"/>
      <c r="CKS49" s="56"/>
      <c r="CKT49" s="56"/>
      <c r="CKU49" s="56"/>
      <c r="CKV49" s="56"/>
      <c r="CKW49" s="56"/>
      <c r="CKX49" s="56"/>
      <c r="CKY49" s="56"/>
      <c r="CKZ49" s="56"/>
      <c r="CLA49" s="56"/>
      <c r="CLB49" s="56"/>
      <c r="CLC49" s="56"/>
      <c r="CLD49" s="56"/>
      <c r="CLE49" s="56"/>
      <c r="CLF49" s="56"/>
      <c r="CLG49" s="56"/>
      <c r="CLH49" s="56"/>
      <c r="CLI49" s="56"/>
      <c r="CLJ49" s="56"/>
      <c r="CLK49" s="56"/>
      <c r="CLL49" s="56"/>
      <c r="CLM49" s="56"/>
      <c r="CLN49" s="56"/>
      <c r="CLO49" s="56"/>
      <c r="CLP49" s="56"/>
      <c r="CLQ49" s="56"/>
      <c r="CLR49" s="56"/>
      <c r="CLS49" s="56"/>
      <c r="CLT49" s="56"/>
      <c r="CLU49" s="56"/>
      <c r="CLV49" s="56"/>
      <c r="CLW49" s="56"/>
      <c r="CLX49" s="56"/>
      <c r="CLY49" s="56"/>
      <c r="CLZ49" s="56"/>
      <c r="CMA49" s="56"/>
      <c r="CMB49" s="56"/>
      <c r="CMC49" s="56"/>
      <c r="CMD49" s="56"/>
      <c r="CME49" s="56"/>
      <c r="CMF49" s="56"/>
      <c r="CMG49" s="56"/>
      <c r="CMH49" s="56"/>
      <c r="CMI49" s="56"/>
      <c r="CMJ49" s="56"/>
      <c r="CMK49" s="56"/>
      <c r="CML49" s="56"/>
      <c r="CMM49" s="56"/>
      <c r="CMN49" s="56"/>
      <c r="CMO49" s="56"/>
      <c r="CMP49" s="56"/>
      <c r="CMQ49" s="56"/>
      <c r="CMR49" s="56"/>
      <c r="CMS49" s="56"/>
      <c r="CMT49" s="56"/>
      <c r="CMU49" s="56"/>
      <c r="CMV49" s="56"/>
      <c r="CMW49" s="56"/>
      <c r="CMX49" s="56"/>
      <c r="CMY49" s="56"/>
      <c r="CMZ49" s="56"/>
      <c r="CNA49" s="56"/>
      <c r="CNB49" s="56"/>
      <c r="CNC49" s="56"/>
      <c r="CND49" s="56"/>
      <c r="CNE49" s="56"/>
      <c r="CNF49" s="56"/>
      <c r="CNG49" s="56"/>
      <c r="CNH49" s="56"/>
      <c r="CNI49" s="56"/>
      <c r="CNJ49" s="56"/>
      <c r="CNK49" s="56"/>
      <c r="CNL49" s="56"/>
      <c r="CNM49" s="56"/>
      <c r="CNN49" s="56"/>
      <c r="CNO49" s="56"/>
      <c r="CNP49" s="56"/>
      <c r="CNQ49" s="56"/>
      <c r="CNR49" s="56"/>
      <c r="CNS49" s="56"/>
      <c r="CNT49" s="56"/>
      <c r="CNU49" s="56"/>
      <c r="CNV49" s="56"/>
      <c r="CNW49" s="56"/>
      <c r="CNX49" s="56"/>
      <c r="CNY49" s="56"/>
      <c r="CNZ49" s="56"/>
      <c r="COA49" s="56"/>
      <c r="COB49" s="56"/>
      <c r="COC49" s="56"/>
      <c r="COD49" s="56"/>
      <c r="COE49" s="56"/>
      <c r="COF49" s="56"/>
      <c r="COG49" s="56"/>
      <c r="COH49" s="56"/>
      <c r="COI49" s="56"/>
      <c r="COJ49" s="56"/>
      <c r="COK49" s="56"/>
      <c r="COL49" s="56"/>
      <c r="COM49" s="56"/>
      <c r="CON49" s="56"/>
      <c r="COO49" s="56"/>
      <c r="COP49" s="56"/>
      <c r="COQ49" s="56"/>
      <c r="COR49" s="56"/>
      <c r="COS49" s="56"/>
      <c r="COT49" s="56"/>
      <c r="COU49" s="56"/>
      <c r="COV49" s="56"/>
      <c r="COW49" s="56"/>
      <c r="COX49" s="56"/>
      <c r="COY49" s="56"/>
      <c r="COZ49" s="56"/>
      <c r="CPA49" s="56"/>
      <c r="CPB49" s="56"/>
      <c r="CPC49" s="56"/>
      <c r="CPD49" s="56"/>
      <c r="CPE49" s="56"/>
      <c r="CPF49" s="56"/>
      <c r="CPG49" s="56"/>
      <c r="CPH49" s="56"/>
      <c r="CPI49" s="56"/>
      <c r="CPJ49" s="56"/>
      <c r="CPK49" s="56"/>
      <c r="CPL49" s="56"/>
      <c r="CPM49" s="56"/>
      <c r="CPN49" s="56"/>
      <c r="CPO49" s="56"/>
      <c r="CPP49" s="56"/>
      <c r="CPQ49" s="56"/>
      <c r="CPR49" s="56"/>
      <c r="CPS49" s="56"/>
      <c r="CPT49" s="56"/>
      <c r="CPU49" s="56"/>
      <c r="CPV49" s="56"/>
      <c r="CPW49" s="56"/>
      <c r="CPX49" s="56"/>
      <c r="CPY49" s="56"/>
      <c r="CPZ49" s="56"/>
      <c r="CQA49" s="56"/>
      <c r="CQB49" s="56"/>
      <c r="CQC49" s="56"/>
      <c r="CQD49" s="56"/>
      <c r="CQE49" s="56"/>
      <c r="CQF49" s="56"/>
      <c r="CQG49" s="56"/>
      <c r="CQH49" s="56"/>
      <c r="CQI49" s="56"/>
      <c r="CQJ49" s="56"/>
      <c r="CQK49" s="56"/>
      <c r="CQL49" s="56"/>
      <c r="CQM49" s="56"/>
      <c r="CQN49" s="56"/>
      <c r="CQO49" s="56"/>
      <c r="CQP49" s="56"/>
      <c r="CQQ49" s="56"/>
      <c r="CQR49" s="56"/>
      <c r="CQS49" s="56"/>
      <c r="CQT49" s="56"/>
      <c r="CQU49" s="56"/>
      <c r="CQV49" s="56"/>
      <c r="CQW49" s="56"/>
      <c r="CQX49" s="56"/>
      <c r="CQY49" s="56"/>
      <c r="CQZ49" s="56"/>
      <c r="CRA49" s="56"/>
      <c r="CRB49" s="56"/>
      <c r="CRC49" s="56"/>
      <c r="CRD49" s="56"/>
      <c r="CRE49" s="56"/>
      <c r="CRF49" s="56"/>
      <c r="CRG49" s="56"/>
      <c r="CRH49" s="56"/>
      <c r="CRI49" s="56"/>
      <c r="CRJ49" s="56"/>
      <c r="CRK49" s="56"/>
      <c r="CRL49" s="56"/>
      <c r="CRM49" s="56"/>
      <c r="CRN49" s="56"/>
      <c r="CRO49" s="56"/>
      <c r="CRP49" s="56"/>
      <c r="CRQ49" s="56"/>
      <c r="CRR49" s="56"/>
      <c r="CRS49" s="56"/>
      <c r="CRT49" s="56"/>
      <c r="CRU49" s="56"/>
      <c r="CRV49" s="56"/>
      <c r="CRW49" s="56"/>
      <c r="CRX49" s="56"/>
      <c r="CRY49" s="56"/>
      <c r="CRZ49" s="56"/>
      <c r="CSA49" s="56"/>
      <c r="CSB49" s="56"/>
      <c r="CSC49" s="56"/>
      <c r="CSD49" s="56"/>
      <c r="CSE49" s="56"/>
      <c r="CSF49" s="56"/>
      <c r="CSG49" s="56"/>
      <c r="CSH49" s="56"/>
      <c r="CSI49" s="56"/>
      <c r="CSJ49" s="56"/>
      <c r="CSK49" s="56"/>
      <c r="CSL49" s="56"/>
      <c r="CSM49" s="56"/>
      <c r="CSN49" s="56"/>
      <c r="CSO49" s="56"/>
      <c r="CSP49" s="56"/>
      <c r="CSQ49" s="56"/>
      <c r="CSR49" s="56"/>
      <c r="CSS49" s="56"/>
      <c r="CST49" s="56"/>
      <c r="CSU49" s="56"/>
      <c r="CSV49" s="56"/>
      <c r="CSW49" s="56"/>
      <c r="CSX49" s="56"/>
      <c r="CSY49" s="56"/>
      <c r="CSZ49" s="56"/>
      <c r="CTA49" s="56"/>
      <c r="CTB49" s="56"/>
      <c r="CTC49" s="56"/>
      <c r="CTD49" s="56"/>
      <c r="CTE49" s="56"/>
      <c r="CTF49" s="56"/>
      <c r="CTG49" s="56"/>
      <c r="CTH49" s="56"/>
      <c r="CTI49" s="56"/>
      <c r="CTJ49" s="56"/>
      <c r="CTK49" s="56"/>
    </row>
    <row r="50" s="8" customFormat="1" ht="71" hidden="1" customHeight="1" spans="1:1024 1025:2559">
      <c r="A50" s="37">
        <v>4</v>
      </c>
      <c r="B50" s="30" t="s">
        <v>239</v>
      </c>
      <c r="C50" s="36" t="s">
        <v>221</v>
      </c>
      <c r="D50" s="36" t="s">
        <v>240</v>
      </c>
      <c r="E50" s="53">
        <v>11000</v>
      </c>
      <c r="F50" s="53" t="s">
        <v>223</v>
      </c>
      <c r="G50" s="35">
        <v>5000</v>
      </c>
      <c r="H50" s="35">
        <v>330</v>
      </c>
      <c r="I50" s="35">
        <v>1350</v>
      </c>
      <c r="J50" s="35">
        <v>1680</v>
      </c>
      <c r="K50" s="28">
        <f>J50/G50</f>
        <v>0.336</v>
      </c>
      <c r="L50" s="35" t="s">
        <v>241</v>
      </c>
      <c r="M50" s="35" t="s">
        <v>241</v>
      </c>
      <c r="N50" s="40"/>
      <c r="O50" s="36" t="s">
        <v>242</v>
      </c>
      <c r="P50" s="36" t="s">
        <v>27</v>
      </c>
      <c r="Q50" s="36"/>
      <c r="R50" s="57" t="s">
        <v>243</v>
      </c>
    </row>
    <row r="51" s="8" customFormat="1" ht="62" hidden="1" customHeight="1" spans="1:1024 1025:2559">
      <c r="A51" s="34">
        <v>5</v>
      </c>
      <c r="B51" s="30" t="s">
        <v>244</v>
      </c>
      <c r="C51" s="36" t="s">
        <v>245</v>
      </c>
      <c r="D51" s="36" t="s">
        <v>246</v>
      </c>
      <c r="E51" s="53">
        <v>50000</v>
      </c>
      <c r="F51" s="53" t="s">
        <v>247</v>
      </c>
      <c r="G51" s="35">
        <v>1000</v>
      </c>
      <c r="H51" s="35"/>
      <c r="I51" s="35"/>
      <c r="J51" s="35"/>
      <c r="K51" s="28">
        <f>J51/G51</f>
        <v>0</v>
      </c>
      <c r="L51" s="35"/>
      <c r="M51" s="35"/>
      <c r="N51" s="40"/>
      <c r="O51" s="36" t="s">
        <v>248</v>
      </c>
      <c r="P51" s="36" t="s">
        <v>27</v>
      </c>
      <c r="Q51" s="36"/>
      <c r="R51" s="57" t="s">
        <v>238</v>
      </c>
    </row>
    <row r="52" s="8" customFormat="1" ht="84" hidden="1" customHeight="1" spans="1:1024 1025:2559">
      <c r="A52" s="34">
        <v>6</v>
      </c>
      <c r="B52" s="30" t="s">
        <v>249</v>
      </c>
      <c r="C52" s="36" t="s">
        <v>234</v>
      </c>
      <c r="D52" s="36" t="s">
        <v>250</v>
      </c>
      <c r="E52" s="53">
        <v>480000</v>
      </c>
      <c r="F52" s="53" t="s">
        <v>247</v>
      </c>
      <c r="G52" s="35">
        <v>10000</v>
      </c>
      <c r="H52" s="35"/>
      <c r="I52" s="35"/>
      <c r="J52" s="35"/>
      <c r="K52" s="28">
        <f>J52/G52</f>
        <v>0</v>
      </c>
      <c r="L52" s="35"/>
      <c r="M52" s="35"/>
      <c r="N52" s="40"/>
      <c r="O52" s="36" t="s">
        <v>251</v>
      </c>
      <c r="P52" s="36" t="s">
        <v>27</v>
      </c>
      <c r="Q52" s="36"/>
      <c r="R52" s="57" t="s">
        <v>238</v>
      </c>
    </row>
  </sheetData>
  <autoFilter xmlns:etc="http://www.wps.cn/officeDocument/2017/etCustomData" ref="A4:XER52" etc:filterBottomFollowUsedRange="0">
    <filterColumn colId="0">
      <colorFilter dxfId="0"/>
    </filterColumn>
    <extLst/>
  </autoFilter>
  <mergeCells count="18"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</dc:creator>
  <cp:lastModifiedBy>德不孤1414054524</cp:lastModifiedBy>
  <dcterms:created xsi:type="dcterms:W3CDTF">2026-03-02T00:42:00Z</dcterms:created>
  <dcterms:modified xsi:type="dcterms:W3CDTF">2026-07-03T02:11:45Z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43E925FCFD6447F29F68F336B0B4720B_13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